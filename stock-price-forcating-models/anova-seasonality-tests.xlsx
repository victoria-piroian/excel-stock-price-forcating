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Reg_2022_XOM" sheetId="1" r:id="rId4"/>
    <sheet state="visible" name="LinReg_2023_XOM" sheetId="2" r:id="rId5"/>
    <sheet state="visible" name="LinReg_2022_CNOOC" sheetId="3" r:id="rId6"/>
    <sheet state="visible" name="LinReg_2023_CNOOC" sheetId="4" r:id="rId7"/>
    <sheet state="visible" name="LinReg_2022_XOM_CNOOC" sheetId="5" r:id="rId8"/>
    <sheet state="visible" name="LinReg_2023_XOM_CNOOC" sheetId="6" r:id="rId9"/>
    <sheet state="visible" name="LinReg_Model1_Results" sheetId="7" r:id="rId10"/>
    <sheet state="visible" name="LinReg_Model2_Results" sheetId="8" r:id="rId11"/>
    <sheet state="visible" name="LinReg_Model3_Results" sheetId="9" r:id="rId12"/>
    <sheet state="visible" name="Weekly_Seasonality" sheetId="10" r:id="rId13"/>
    <sheet state="visible" name="Monthly_Seasonality" sheetId="11" r:id="rId14"/>
    <sheet state="visible" name="Trend" sheetId="12" r:id="rId15"/>
  </sheets>
  <definedNames>
    <definedName localSheetId="2" name="solver_cvg">0.0001</definedName>
    <definedName localSheetId="2" name="solver_drv">1</definedName>
    <definedName localSheetId="2" name="solver_eng">1</definedName>
    <definedName localSheetId="2" name="solver_itr">2147483647</definedName>
    <definedName localSheetId="2" name="solver_lin">2</definedName>
    <definedName localSheetId="2" name="solver_mip">2147483647</definedName>
    <definedName localSheetId="2" name="solver_mni">30</definedName>
    <definedName localSheetId="2" name="solver_mrt">0.075</definedName>
    <definedName localSheetId="2" name="solver_msl">2</definedName>
    <definedName localSheetId="2" name="solver_neg">1</definedName>
    <definedName localSheetId="2" name="solver_nod">2147483647</definedName>
    <definedName localSheetId="2" name="solver_num">2</definedName>
    <definedName localSheetId="2" name="solver_pre">0.000001</definedName>
    <definedName localSheetId="2" name="solver_rbv">1</definedName>
    <definedName localSheetId="2" name="solver_rel1">1</definedName>
    <definedName localSheetId="2" name="solver_rel2">1</definedName>
    <definedName localSheetId="2" name="solver_rhs1">1</definedName>
    <definedName localSheetId="2" name="solver_rhs2">1</definedName>
    <definedName localSheetId="2" name="solver_rlx">1</definedName>
    <definedName localSheetId="2" name="solver_rsd">0</definedName>
    <definedName localSheetId="2" name="solver_scl">2</definedName>
    <definedName localSheetId="2" name="solver_sho">2</definedName>
    <definedName localSheetId="2" name="solver_ssz">100</definedName>
    <definedName localSheetId="2" name="solver_tim">2147483647</definedName>
    <definedName localSheetId="2" name="solver_tol">0.01</definedName>
    <definedName localSheetId="2" name="solver_typ">2</definedName>
    <definedName localSheetId="2" name="solver_val">0</definedName>
    <definedName localSheetId="2" name="solver_ver">2</definedName>
  </definedNames>
  <calcPr/>
  <extLst>
    <ext uri="GoogleSheetsCustomDataVersion1">
      <go:sheetsCustomData xmlns:go="http://customooxmlschemas.google.com/" r:id="rId16" roundtripDataSignature="AMtx7mhxS8fKNq01sqzb1PLJLDs7vc7fwg=="/>
    </ext>
  </extLst>
</workbook>
</file>

<file path=xl/sharedStrings.xml><?xml version="1.0" encoding="utf-8"?>
<sst xmlns="http://schemas.openxmlformats.org/spreadsheetml/2006/main" count="144" uniqueCount="55">
  <si>
    <t>Date</t>
  </si>
  <si>
    <t>Open</t>
  </si>
  <si>
    <t>High</t>
  </si>
  <si>
    <t>Low</t>
  </si>
  <si>
    <t>Close</t>
  </si>
  <si>
    <t>Adj Close</t>
  </si>
  <si>
    <t>Volume</t>
  </si>
  <si>
    <t>Close CNOOC</t>
  </si>
  <si>
    <t>Predicted Close Price</t>
  </si>
  <si>
    <t>Close Price</t>
  </si>
  <si>
    <t>Error</t>
  </si>
  <si>
    <t>Abs Error</t>
  </si>
  <si>
    <t>|ei| / Di</t>
  </si>
  <si>
    <t>MAD</t>
  </si>
  <si>
    <t>Day</t>
  </si>
  <si>
    <t>Avg</t>
  </si>
  <si>
    <t>(xj-x_bar)^2</t>
  </si>
  <si>
    <t>-</t>
  </si>
  <si>
    <t>Mean</t>
  </si>
  <si>
    <t>d.f.</t>
  </si>
  <si>
    <t>MS</t>
  </si>
  <si>
    <t>SSR</t>
  </si>
  <si>
    <t>SSE</t>
  </si>
  <si>
    <t>SST</t>
  </si>
  <si>
    <t>F</t>
  </si>
  <si>
    <t>F_critical</t>
  </si>
  <si>
    <t>n</t>
  </si>
  <si>
    <t>k</t>
  </si>
  <si>
    <t>alpha</t>
  </si>
  <si>
    <t>DF1</t>
  </si>
  <si>
    <t>DF2</t>
  </si>
  <si>
    <t>F critical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</si>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</sst>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yyyy-mm-dd"/>
    <numFmt numFmtId="166" formatCode="#,##0.00000000000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i/>
      <sz val="11.0"/>
      <color rgb="FF00000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</fills>
  <borders count="4">
    <border/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  <xf borderId="0" fillId="2" fontId="1" numFmtId="0" xfId="0" applyFill="1" applyFont="1"/>
    <xf borderId="0" fillId="2" fontId="1" numFmtId="164" xfId="0" applyFont="1" applyNumberFormat="1"/>
    <xf borderId="0" fillId="2" fontId="4" numFmtId="0" xfId="0" applyFont="1"/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4" numFmtId="11" xfId="0" applyAlignment="1" applyFont="1" applyNumberFormat="1">
      <alignment readingOrder="0"/>
    </xf>
    <xf borderId="0" fillId="3" fontId="3" numFmtId="165" xfId="0" applyAlignment="1" applyFill="1" applyFont="1" applyNumberFormat="1">
      <alignment horizontal="right" readingOrder="0" shrinkToFit="0" vertical="bottom" wrapText="0"/>
    </xf>
    <xf borderId="0" fillId="3" fontId="4" numFmtId="166" xfId="0" applyAlignment="1" applyFont="1" applyNumberFormat="1">
      <alignment readingOrder="0"/>
    </xf>
    <xf borderId="0" fillId="3" fontId="3" numFmtId="0" xfId="0" applyAlignment="1" applyFont="1">
      <alignment horizontal="right" readingOrder="0" shrinkToFit="0" vertical="bottom" wrapText="0"/>
    </xf>
    <xf borderId="0" fillId="0" fontId="4" numFmtId="0" xfId="0" applyFont="1"/>
    <xf borderId="0" fillId="0" fontId="4" numFmtId="166" xfId="0" applyFont="1" applyNumberFormat="1"/>
    <xf borderId="1" fillId="0" fontId="1" numFmtId="164" xfId="0" applyBorder="1" applyFont="1" applyNumberFormat="1"/>
    <xf borderId="1" fillId="0" fontId="1" numFmtId="0" xfId="0" applyBorder="1" applyFont="1"/>
    <xf borderId="0" fillId="0" fontId="5" numFmtId="0" xfId="0" applyFont="1"/>
    <xf borderId="0" fillId="2" fontId="5" numFmtId="0" xfId="0" applyFont="1"/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2" fontId="6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2" fontId="6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2" fillId="0" fontId="8" numFmtId="0" xfId="0" applyBorder="1" applyFont="1"/>
    <xf borderId="3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2" fillId="0" fontId="7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shrinkToFit="0" vertical="bottom" wrapText="0"/>
    </xf>
    <xf borderId="3" fillId="0" fontId="3" numFmtId="11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Close vs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Trend!$E$1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Trend!$A$2:$A$252</c:f>
            </c:strRef>
          </c:cat>
          <c:val>
            <c:numRef>
              <c:f>Trend!$E$2:$E$252</c:f>
              <c:numCache/>
            </c:numRef>
          </c:val>
          <c:smooth val="0"/>
        </c:ser>
        <c:axId val="982787359"/>
        <c:axId val="1582813393"/>
      </c:lineChart>
      <c:catAx>
        <c:axId val="982787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813393"/>
      </c:catAx>
      <c:valAx>
        <c:axId val="1582813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7873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1</xdr:row>
      <xdr:rowOff>76200</xdr:rowOff>
    </xdr:from>
    <xdr:ext cx="5114925" cy="3171825"/>
    <xdr:graphicFrame>
      <xdr:nvGraphicFramePr>
        <xdr:cNvPr id="25133801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44564.0</v>
      </c>
      <c r="B2" s="1">
        <v>61.240002</v>
      </c>
      <c r="C2" s="1">
        <v>63.599998</v>
      </c>
      <c r="D2" s="1">
        <v>61.209999</v>
      </c>
      <c r="E2" s="1">
        <v>63.540001</v>
      </c>
      <c r="F2" s="1">
        <v>61.115536</v>
      </c>
      <c r="G2" s="1">
        <v>2.42824E7</v>
      </c>
    </row>
    <row r="3">
      <c r="A3" s="2">
        <v>44565.0</v>
      </c>
      <c r="B3" s="1">
        <v>64.129997</v>
      </c>
      <c r="C3" s="1">
        <v>66.190002</v>
      </c>
      <c r="D3" s="1">
        <v>64.099998</v>
      </c>
      <c r="E3" s="1">
        <v>65.93</v>
      </c>
      <c r="F3" s="1">
        <v>63.414337</v>
      </c>
      <c r="G3" s="1">
        <v>3.8584E7</v>
      </c>
    </row>
    <row r="4">
      <c r="A4" s="2">
        <v>44566.0</v>
      </c>
      <c r="B4" s="1">
        <v>66.5</v>
      </c>
      <c r="C4" s="1">
        <v>67.610001</v>
      </c>
      <c r="D4" s="1">
        <v>66.480003</v>
      </c>
      <c r="E4" s="1">
        <v>66.75</v>
      </c>
      <c r="F4" s="1">
        <v>64.203064</v>
      </c>
      <c r="G4" s="1">
        <v>3.40333E7</v>
      </c>
    </row>
    <row r="5">
      <c r="A5" s="2">
        <v>44567.0</v>
      </c>
      <c r="B5" s="1">
        <v>68.0</v>
      </c>
      <c r="C5" s="1">
        <v>68.480003</v>
      </c>
      <c r="D5" s="1">
        <v>67.07</v>
      </c>
      <c r="E5" s="1">
        <v>68.32</v>
      </c>
      <c r="F5" s="1">
        <v>65.71315</v>
      </c>
      <c r="G5" s="1">
        <v>3.06685E7</v>
      </c>
    </row>
    <row r="6">
      <c r="A6" s="2">
        <v>44568.0</v>
      </c>
      <c r="B6" s="1">
        <v>68.519997</v>
      </c>
      <c r="C6" s="1">
        <v>69.18</v>
      </c>
      <c r="D6" s="1">
        <v>67.980003</v>
      </c>
      <c r="E6" s="1">
        <v>68.879997</v>
      </c>
      <c r="F6" s="1">
        <v>66.251778</v>
      </c>
      <c r="G6" s="1">
        <v>2.39854E7</v>
      </c>
    </row>
    <row r="7">
      <c r="A7" s="2">
        <v>44571.0</v>
      </c>
      <c r="B7" s="1">
        <v>68.970001</v>
      </c>
      <c r="C7" s="1">
        <v>69.169998</v>
      </c>
      <c r="D7" s="1">
        <v>67.949997</v>
      </c>
      <c r="E7" s="1">
        <v>68.470001</v>
      </c>
      <c r="F7" s="1">
        <v>65.85743</v>
      </c>
      <c r="G7" s="1">
        <v>2.27603E7</v>
      </c>
    </row>
    <row r="8">
      <c r="A8" s="2">
        <v>44572.0</v>
      </c>
      <c r="B8" s="1">
        <v>68.889999</v>
      </c>
      <c r="C8" s="1">
        <v>71.400002</v>
      </c>
      <c r="D8" s="1">
        <v>68.580002</v>
      </c>
      <c r="E8" s="1">
        <v>71.349998</v>
      </c>
      <c r="F8" s="1">
        <v>68.627533</v>
      </c>
      <c r="G8" s="1">
        <v>3.29361E7</v>
      </c>
    </row>
    <row r="9">
      <c r="A9" s="2">
        <v>44573.0</v>
      </c>
      <c r="B9" s="1">
        <v>71.139999</v>
      </c>
      <c r="C9" s="1">
        <v>71.809998</v>
      </c>
      <c r="D9" s="1">
        <v>70.639999</v>
      </c>
      <c r="E9" s="1">
        <v>71.139999</v>
      </c>
      <c r="F9" s="1">
        <v>68.425552</v>
      </c>
      <c r="G9" s="1">
        <v>2.30451E7</v>
      </c>
    </row>
    <row r="10">
      <c r="A10" s="2">
        <v>44574.0</v>
      </c>
      <c r="B10" s="1">
        <v>71.120003</v>
      </c>
      <c r="C10" s="1">
        <v>71.580002</v>
      </c>
      <c r="D10" s="1">
        <v>70.309998</v>
      </c>
      <c r="E10" s="1">
        <v>70.629997</v>
      </c>
      <c r="F10" s="1">
        <v>67.935013</v>
      </c>
      <c r="G10" s="1">
        <v>2.10432E7</v>
      </c>
    </row>
    <row r="11">
      <c r="A11" s="2">
        <v>44575.0</v>
      </c>
      <c r="B11" s="1">
        <v>70.650002</v>
      </c>
      <c r="C11" s="1">
        <v>72.150002</v>
      </c>
      <c r="D11" s="1">
        <v>70.599998</v>
      </c>
      <c r="E11" s="1">
        <v>71.870003</v>
      </c>
      <c r="F11" s="1">
        <v>69.127701</v>
      </c>
      <c r="G11" s="1">
        <v>2.30129E7</v>
      </c>
    </row>
    <row r="12">
      <c r="A12" s="2">
        <v>44579.0</v>
      </c>
      <c r="B12" s="1">
        <v>72.82</v>
      </c>
      <c r="C12" s="1">
        <v>73.879997</v>
      </c>
      <c r="D12" s="1">
        <v>72.010002</v>
      </c>
      <c r="E12" s="1">
        <v>73.080002</v>
      </c>
      <c r="F12" s="1">
        <v>70.291527</v>
      </c>
      <c r="G12" s="1">
        <v>3.28412E7</v>
      </c>
    </row>
    <row r="13">
      <c r="A13" s="2">
        <v>44580.0</v>
      </c>
      <c r="B13" s="1">
        <v>73.75</v>
      </c>
      <c r="C13" s="1">
        <v>73.860001</v>
      </c>
      <c r="D13" s="1">
        <v>72.550003</v>
      </c>
      <c r="E13" s="1">
        <v>73.110001</v>
      </c>
      <c r="F13" s="1">
        <v>70.320381</v>
      </c>
      <c r="G13" s="1">
        <v>2.64316E7</v>
      </c>
    </row>
    <row r="14">
      <c r="A14" s="2">
        <v>44581.0</v>
      </c>
      <c r="B14" s="1">
        <v>72.5</v>
      </c>
      <c r="C14" s="1">
        <v>74.370003</v>
      </c>
      <c r="D14" s="1">
        <v>72.260002</v>
      </c>
      <c r="E14" s="1">
        <v>73.269997</v>
      </c>
      <c r="F14" s="1">
        <v>70.474281</v>
      </c>
      <c r="G14" s="1">
        <v>2.67746E7</v>
      </c>
    </row>
    <row r="15">
      <c r="A15" s="2">
        <v>44582.0</v>
      </c>
      <c r="B15" s="1">
        <v>73.18</v>
      </c>
      <c r="C15" s="1">
        <v>73.18</v>
      </c>
      <c r="D15" s="1">
        <v>71.040001</v>
      </c>
      <c r="E15" s="1">
        <v>72.169998</v>
      </c>
      <c r="F15" s="1">
        <v>69.416245</v>
      </c>
      <c r="G15" s="1">
        <v>3.59952E7</v>
      </c>
    </row>
    <row r="16">
      <c r="A16" s="2">
        <v>44585.0</v>
      </c>
      <c r="B16" s="1">
        <v>70.879997</v>
      </c>
      <c r="C16" s="1">
        <v>73.080002</v>
      </c>
      <c r="D16" s="1">
        <v>69.809998</v>
      </c>
      <c r="E16" s="1">
        <v>72.790001</v>
      </c>
      <c r="F16" s="1">
        <v>70.012596</v>
      </c>
      <c r="G16" s="1">
        <v>4.1507E7</v>
      </c>
    </row>
    <row r="17">
      <c r="A17" s="2">
        <v>44586.0</v>
      </c>
      <c r="B17" s="1">
        <v>72.589996</v>
      </c>
      <c r="C17" s="1">
        <v>75.239998</v>
      </c>
      <c r="D17" s="1">
        <v>71.389999</v>
      </c>
      <c r="E17" s="1">
        <v>74.93</v>
      </c>
      <c r="F17" s="1">
        <v>72.070938</v>
      </c>
      <c r="G17" s="1">
        <v>3.92784E7</v>
      </c>
    </row>
    <row r="18">
      <c r="A18" s="2">
        <v>44587.0</v>
      </c>
      <c r="B18" s="1">
        <v>75.43</v>
      </c>
      <c r="C18" s="1">
        <v>76.0</v>
      </c>
      <c r="D18" s="1">
        <v>73.489998</v>
      </c>
      <c r="E18" s="1">
        <v>74.169998</v>
      </c>
      <c r="F18" s="1">
        <v>71.339935</v>
      </c>
      <c r="G18" s="1">
        <v>3.52524E7</v>
      </c>
    </row>
    <row r="19">
      <c r="A19" s="2">
        <v>44588.0</v>
      </c>
      <c r="B19" s="1">
        <v>75.459999</v>
      </c>
      <c r="C19" s="1">
        <v>76.010002</v>
      </c>
      <c r="D19" s="1">
        <v>73.989998</v>
      </c>
      <c r="E19" s="1">
        <v>75.120003</v>
      </c>
      <c r="F19" s="1">
        <v>72.253685</v>
      </c>
      <c r="G19" s="1">
        <v>2.91747E7</v>
      </c>
    </row>
    <row r="20">
      <c r="A20" s="2">
        <v>44589.0</v>
      </c>
      <c r="B20" s="1">
        <v>74.970001</v>
      </c>
      <c r="C20" s="1">
        <v>75.620003</v>
      </c>
      <c r="D20" s="1">
        <v>73.949997</v>
      </c>
      <c r="E20" s="1">
        <v>75.279999</v>
      </c>
      <c r="F20" s="1">
        <v>72.407585</v>
      </c>
      <c r="G20" s="1">
        <v>3.05957E7</v>
      </c>
    </row>
    <row r="21">
      <c r="A21" s="2">
        <v>44592.0</v>
      </c>
      <c r="B21" s="1">
        <v>74.970001</v>
      </c>
      <c r="C21" s="1">
        <v>76.419998</v>
      </c>
      <c r="D21" s="1">
        <v>74.269997</v>
      </c>
      <c r="E21" s="1">
        <v>75.959999</v>
      </c>
      <c r="F21" s="1">
        <v>73.061638</v>
      </c>
      <c r="G21" s="1">
        <v>3.60855E7</v>
      </c>
    </row>
    <row r="22">
      <c r="A22" s="2">
        <v>44593.0</v>
      </c>
      <c r="B22" s="1">
        <v>76.449997</v>
      </c>
      <c r="C22" s="1">
        <v>81.510002</v>
      </c>
      <c r="D22" s="1">
        <v>76.269997</v>
      </c>
      <c r="E22" s="1">
        <v>80.830002</v>
      </c>
      <c r="F22" s="1">
        <v>77.745819</v>
      </c>
      <c r="G22" s="1">
        <v>6.10331E7</v>
      </c>
    </row>
    <row r="23">
      <c r="A23" s="2">
        <v>44594.0</v>
      </c>
      <c r="B23" s="1">
        <v>80.059998</v>
      </c>
      <c r="C23" s="1">
        <v>80.809998</v>
      </c>
      <c r="D23" s="1">
        <v>79.150002</v>
      </c>
      <c r="E23" s="1">
        <v>80.620003</v>
      </c>
      <c r="F23" s="1">
        <v>77.543839</v>
      </c>
      <c r="G23" s="1">
        <v>3.02993E7</v>
      </c>
    </row>
    <row r="24">
      <c r="A24" s="2">
        <v>44595.0</v>
      </c>
      <c r="B24" s="1">
        <v>80.089996</v>
      </c>
      <c r="C24" s="1">
        <v>80.309998</v>
      </c>
      <c r="D24" s="1">
        <v>79.019997</v>
      </c>
      <c r="E24" s="1">
        <v>79.68</v>
      </c>
      <c r="F24" s="1">
        <v>76.639694</v>
      </c>
      <c r="G24" s="1">
        <v>2.85294E7</v>
      </c>
    </row>
    <row r="25">
      <c r="A25" s="2">
        <v>44596.0</v>
      </c>
      <c r="B25" s="1">
        <v>80.870003</v>
      </c>
      <c r="C25" s="1">
        <v>82.529999</v>
      </c>
      <c r="D25" s="1">
        <v>80.870003</v>
      </c>
      <c r="E25" s="1">
        <v>81.410004</v>
      </c>
      <c r="F25" s="1">
        <v>78.303696</v>
      </c>
      <c r="G25" s="1">
        <v>3.21975E7</v>
      </c>
    </row>
    <row r="26">
      <c r="A26" s="2">
        <v>44599.0</v>
      </c>
      <c r="B26" s="1">
        <v>81.139999</v>
      </c>
      <c r="C26" s="1">
        <v>83.080002</v>
      </c>
      <c r="D26" s="1">
        <v>80.639999</v>
      </c>
      <c r="E26" s="1">
        <v>82.389999</v>
      </c>
      <c r="F26" s="1">
        <v>79.246292</v>
      </c>
      <c r="G26" s="1">
        <v>3.49492E7</v>
      </c>
    </row>
    <row r="27">
      <c r="A27" s="2">
        <v>44600.0</v>
      </c>
      <c r="B27" s="1">
        <v>82.269997</v>
      </c>
      <c r="C27" s="1">
        <v>82.5</v>
      </c>
      <c r="D27" s="1">
        <v>79.919998</v>
      </c>
      <c r="E27" s="1">
        <v>80.260002</v>
      </c>
      <c r="F27" s="1">
        <v>77.197563</v>
      </c>
      <c r="G27" s="1">
        <v>3.43563E7</v>
      </c>
    </row>
    <row r="28">
      <c r="A28" s="2">
        <v>44601.0</v>
      </c>
      <c r="B28" s="1">
        <v>79.580002</v>
      </c>
      <c r="C28" s="1">
        <v>80.029999</v>
      </c>
      <c r="D28" s="1">
        <v>78.709999</v>
      </c>
      <c r="E28" s="1">
        <v>79.0</v>
      </c>
      <c r="F28" s="1">
        <v>76.828011</v>
      </c>
      <c r="G28" s="1">
        <v>4.01061E7</v>
      </c>
    </row>
    <row r="29">
      <c r="A29" s="2">
        <v>44602.0</v>
      </c>
      <c r="B29" s="1">
        <v>78.720001</v>
      </c>
      <c r="C29" s="1">
        <v>79.68</v>
      </c>
      <c r="D29" s="1">
        <v>77.790001</v>
      </c>
      <c r="E29" s="1">
        <v>78.239998</v>
      </c>
      <c r="F29" s="1">
        <v>76.088913</v>
      </c>
      <c r="G29" s="1">
        <v>2.85277E7</v>
      </c>
    </row>
    <row r="30">
      <c r="A30" s="2">
        <v>44603.0</v>
      </c>
      <c r="B30" s="1">
        <v>78.620003</v>
      </c>
      <c r="C30" s="1">
        <v>80.32</v>
      </c>
      <c r="D30" s="1">
        <v>78.230003</v>
      </c>
      <c r="E30" s="1">
        <v>80.209999</v>
      </c>
      <c r="F30" s="1">
        <v>78.004745</v>
      </c>
      <c r="G30" s="1">
        <v>4.20021E7</v>
      </c>
    </row>
    <row r="31">
      <c r="A31" s="2">
        <v>44606.0</v>
      </c>
      <c r="B31" s="1">
        <v>79.580002</v>
      </c>
      <c r="C31" s="1">
        <v>79.839996</v>
      </c>
      <c r="D31" s="1">
        <v>77.050003</v>
      </c>
      <c r="E31" s="1">
        <v>78.980003</v>
      </c>
      <c r="F31" s="1">
        <v>76.808563</v>
      </c>
      <c r="G31" s="1">
        <v>3.46528E7</v>
      </c>
    </row>
    <row r="32">
      <c r="A32" s="2">
        <v>44607.0</v>
      </c>
      <c r="B32" s="1">
        <v>76.900002</v>
      </c>
      <c r="C32" s="1">
        <v>78.190002</v>
      </c>
      <c r="D32" s="1">
        <v>76.419998</v>
      </c>
      <c r="E32" s="1">
        <v>77.989998</v>
      </c>
      <c r="F32" s="1">
        <v>75.845779</v>
      </c>
      <c r="G32" s="1">
        <v>2.50751E7</v>
      </c>
    </row>
    <row r="33">
      <c r="A33" s="2">
        <v>44608.0</v>
      </c>
      <c r="B33" s="1">
        <v>78.790001</v>
      </c>
      <c r="C33" s="1">
        <v>79.730003</v>
      </c>
      <c r="D33" s="1">
        <v>78.040001</v>
      </c>
      <c r="E33" s="1">
        <v>78.349998</v>
      </c>
      <c r="F33" s="1">
        <v>76.195877</v>
      </c>
      <c r="G33" s="1">
        <v>2.17338E7</v>
      </c>
    </row>
    <row r="34">
      <c r="A34" s="2">
        <v>44609.0</v>
      </c>
      <c r="B34" s="1">
        <v>78.480003</v>
      </c>
      <c r="C34" s="1">
        <v>79.120003</v>
      </c>
      <c r="D34" s="1">
        <v>77.949997</v>
      </c>
      <c r="E34" s="1">
        <v>78.230003</v>
      </c>
      <c r="F34" s="1">
        <v>76.079185</v>
      </c>
      <c r="G34" s="1">
        <v>2.37388E7</v>
      </c>
    </row>
    <row r="35">
      <c r="A35" s="2">
        <v>44610.0</v>
      </c>
      <c r="B35" s="1">
        <v>77.160004</v>
      </c>
      <c r="C35" s="1">
        <v>78.169998</v>
      </c>
      <c r="D35" s="1">
        <v>76.889999</v>
      </c>
      <c r="E35" s="1">
        <v>77.360001</v>
      </c>
      <c r="F35" s="1">
        <v>75.233109</v>
      </c>
      <c r="G35" s="1">
        <v>2.33948E7</v>
      </c>
    </row>
    <row r="36">
      <c r="A36" s="2">
        <v>44614.0</v>
      </c>
      <c r="B36" s="1">
        <v>79.669998</v>
      </c>
      <c r="C36" s="1">
        <v>79.790001</v>
      </c>
      <c r="D36" s="1">
        <v>75.309998</v>
      </c>
      <c r="E36" s="1">
        <v>76.459999</v>
      </c>
      <c r="F36" s="1">
        <v>74.357849</v>
      </c>
      <c r="G36" s="1">
        <v>3.59478E7</v>
      </c>
    </row>
    <row r="37">
      <c r="A37" s="2">
        <v>44615.0</v>
      </c>
      <c r="B37" s="1">
        <v>76.459999</v>
      </c>
      <c r="C37" s="1">
        <v>77.470001</v>
      </c>
      <c r="D37" s="1">
        <v>76.129997</v>
      </c>
      <c r="E37" s="1">
        <v>76.769997</v>
      </c>
      <c r="F37" s="1">
        <v>74.659317</v>
      </c>
      <c r="G37" s="1">
        <v>2.5385E7</v>
      </c>
    </row>
    <row r="38">
      <c r="A38" s="2">
        <v>44616.0</v>
      </c>
      <c r="B38" s="1">
        <v>79.0</v>
      </c>
      <c r="C38" s="1">
        <v>79.029999</v>
      </c>
      <c r="D38" s="1">
        <v>74.029999</v>
      </c>
      <c r="E38" s="1">
        <v>75.800003</v>
      </c>
      <c r="F38" s="1">
        <v>73.716003</v>
      </c>
      <c r="G38" s="1">
        <v>4.61999E7</v>
      </c>
    </row>
    <row r="39">
      <c r="A39" s="2">
        <v>44617.0</v>
      </c>
      <c r="B39" s="1">
        <v>76.690002</v>
      </c>
      <c r="C39" s="1">
        <v>77.989998</v>
      </c>
      <c r="D39" s="1">
        <v>76.260002</v>
      </c>
      <c r="E39" s="1">
        <v>77.839996</v>
      </c>
      <c r="F39" s="1">
        <v>75.699898</v>
      </c>
      <c r="G39" s="1">
        <v>2.83103E7</v>
      </c>
    </row>
    <row r="40">
      <c r="A40" s="2">
        <v>44620.0</v>
      </c>
      <c r="B40" s="1">
        <v>76.510002</v>
      </c>
      <c r="C40" s="1">
        <v>78.93</v>
      </c>
      <c r="D40" s="1">
        <v>76.199997</v>
      </c>
      <c r="E40" s="1">
        <v>78.419998</v>
      </c>
      <c r="F40" s="1">
        <v>76.263962</v>
      </c>
      <c r="G40" s="1">
        <v>3.22046E7</v>
      </c>
    </row>
    <row r="41">
      <c r="A41" s="2">
        <v>44621.0</v>
      </c>
      <c r="B41" s="1">
        <v>78.769997</v>
      </c>
      <c r="C41" s="1">
        <v>80.650002</v>
      </c>
      <c r="D41" s="1">
        <v>78.330002</v>
      </c>
      <c r="E41" s="1">
        <v>79.169998</v>
      </c>
      <c r="F41" s="1">
        <v>76.99334</v>
      </c>
      <c r="G41" s="1">
        <v>4.00023E7</v>
      </c>
    </row>
    <row r="42">
      <c r="A42" s="2">
        <v>44622.0</v>
      </c>
      <c r="B42" s="1">
        <v>80.599998</v>
      </c>
      <c r="C42" s="1">
        <v>82.150002</v>
      </c>
      <c r="D42" s="1">
        <v>79.82</v>
      </c>
      <c r="E42" s="1">
        <v>80.529999</v>
      </c>
      <c r="F42" s="1">
        <v>78.315941</v>
      </c>
      <c r="G42" s="1">
        <v>4.43214E7</v>
      </c>
    </row>
    <row r="43">
      <c r="A43" s="2">
        <v>44623.0</v>
      </c>
      <c r="B43" s="1">
        <v>79.860001</v>
      </c>
      <c r="C43" s="1">
        <v>81.769997</v>
      </c>
      <c r="D43" s="1">
        <v>79.629997</v>
      </c>
      <c r="E43" s="1">
        <v>81.040001</v>
      </c>
      <c r="F43" s="1">
        <v>78.811935</v>
      </c>
      <c r="G43" s="1">
        <v>3.01966E7</v>
      </c>
    </row>
    <row r="44">
      <c r="A44" s="2">
        <v>44624.0</v>
      </c>
      <c r="B44" s="1">
        <v>81.050003</v>
      </c>
      <c r="C44" s="1">
        <v>84.279999</v>
      </c>
      <c r="D44" s="1">
        <v>80.660004</v>
      </c>
      <c r="E44" s="1">
        <v>84.089996</v>
      </c>
      <c r="F44" s="1">
        <v>81.778069</v>
      </c>
      <c r="G44" s="1">
        <v>4.28022E7</v>
      </c>
    </row>
    <row r="45">
      <c r="A45" s="2">
        <v>44627.0</v>
      </c>
      <c r="B45" s="1">
        <v>84.919998</v>
      </c>
      <c r="C45" s="1">
        <v>87.230003</v>
      </c>
      <c r="D45" s="1">
        <v>83.900002</v>
      </c>
      <c r="E45" s="1">
        <v>87.120003</v>
      </c>
      <c r="F45" s="1">
        <v>84.72477</v>
      </c>
      <c r="G45" s="1">
        <v>5.52079E7</v>
      </c>
    </row>
    <row r="46">
      <c r="A46" s="2">
        <v>44628.0</v>
      </c>
      <c r="B46" s="1">
        <v>89.050003</v>
      </c>
      <c r="C46" s="1">
        <v>91.510002</v>
      </c>
      <c r="D46" s="1">
        <v>85.43</v>
      </c>
      <c r="E46" s="1">
        <v>87.779999</v>
      </c>
      <c r="F46" s="1">
        <v>85.366623</v>
      </c>
      <c r="G46" s="1">
        <v>7.20823E7</v>
      </c>
    </row>
    <row r="47">
      <c r="A47" s="2">
        <v>44629.0</v>
      </c>
      <c r="B47" s="1">
        <v>84.029999</v>
      </c>
      <c r="C47" s="1">
        <v>86.57</v>
      </c>
      <c r="D47" s="1">
        <v>81.599998</v>
      </c>
      <c r="E47" s="1">
        <v>82.790001</v>
      </c>
      <c r="F47" s="1">
        <v>80.513809</v>
      </c>
      <c r="G47" s="1">
        <v>6.54667E7</v>
      </c>
    </row>
    <row r="48">
      <c r="A48" s="2">
        <v>44630.0</v>
      </c>
      <c r="B48" s="1">
        <v>84.010002</v>
      </c>
      <c r="C48" s="1">
        <v>85.68</v>
      </c>
      <c r="D48" s="1">
        <v>82.900002</v>
      </c>
      <c r="E48" s="1">
        <v>85.360001</v>
      </c>
      <c r="F48" s="1">
        <v>83.013153</v>
      </c>
      <c r="G48" s="1">
        <v>4.46442E7</v>
      </c>
    </row>
    <row r="49">
      <c r="A49" s="2">
        <v>44631.0</v>
      </c>
      <c r="B49" s="1">
        <v>84.07</v>
      </c>
      <c r="C49" s="1">
        <v>86.230003</v>
      </c>
      <c r="D49" s="1">
        <v>83.970001</v>
      </c>
      <c r="E49" s="1">
        <v>84.919998</v>
      </c>
      <c r="F49" s="1">
        <v>82.585243</v>
      </c>
      <c r="G49" s="1">
        <v>3.53034E7</v>
      </c>
    </row>
    <row r="50">
      <c r="A50" s="2">
        <v>44634.0</v>
      </c>
      <c r="B50" s="1">
        <v>83.059998</v>
      </c>
      <c r="C50" s="1">
        <v>83.449997</v>
      </c>
      <c r="D50" s="1">
        <v>80.5</v>
      </c>
      <c r="E50" s="1">
        <v>81.879997</v>
      </c>
      <c r="F50" s="1">
        <v>79.628822</v>
      </c>
      <c r="G50" s="1">
        <v>3.74626E7</v>
      </c>
    </row>
    <row r="51">
      <c r="A51" s="2">
        <v>44635.0</v>
      </c>
      <c r="B51" s="1">
        <v>78.82</v>
      </c>
      <c r="C51" s="1">
        <v>79.169998</v>
      </c>
      <c r="D51" s="1">
        <v>76.370003</v>
      </c>
      <c r="E51" s="1">
        <v>77.220001</v>
      </c>
      <c r="F51" s="1">
        <v>75.096954</v>
      </c>
      <c r="G51" s="1">
        <v>4.79579E7</v>
      </c>
    </row>
    <row r="52">
      <c r="A52" s="2">
        <v>44636.0</v>
      </c>
      <c r="B52" s="1">
        <v>77.809998</v>
      </c>
      <c r="C52" s="1">
        <v>78.620003</v>
      </c>
      <c r="D52" s="1">
        <v>76.25</v>
      </c>
      <c r="E52" s="1">
        <v>76.93</v>
      </c>
      <c r="F52" s="1">
        <v>74.814926</v>
      </c>
      <c r="G52" s="1">
        <v>3.78123E7</v>
      </c>
    </row>
    <row r="53">
      <c r="A53" s="2">
        <v>44637.0</v>
      </c>
      <c r="B53" s="1">
        <v>78.18</v>
      </c>
      <c r="C53" s="1">
        <v>79.150002</v>
      </c>
      <c r="D53" s="1">
        <v>77.07</v>
      </c>
      <c r="E53" s="1">
        <v>78.980003</v>
      </c>
      <c r="F53" s="1">
        <v>76.808563</v>
      </c>
      <c r="G53" s="1">
        <v>3.40419E7</v>
      </c>
    </row>
    <row r="54">
      <c r="A54" s="2">
        <v>44638.0</v>
      </c>
      <c r="B54" s="1">
        <v>79.059998</v>
      </c>
      <c r="C54" s="1">
        <v>79.389999</v>
      </c>
      <c r="D54" s="1">
        <v>78.099998</v>
      </c>
      <c r="E54" s="1">
        <v>78.669998</v>
      </c>
      <c r="F54" s="1">
        <v>76.50708</v>
      </c>
      <c r="G54" s="1">
        <v>4.14615E7</v>
      </c>
    </row>
    <row r="55">
      <c r="A55" s="2">
        <v>44641.0</v>
      </c>
      <c r="B55" s="1">
        <v>80.120003</v>
      </c>
      <c r="C55" s="1">
        <v>82.519997</v>
      </c>
      <c r="D55" s="1">
        <v>79.739998</v>
      </c>
      <c r="E55" s="1">
        <v>82.199997</v>
      </c>
      <c r="F55" s="1">
        <v>79.940025</v>
      </c>
      <c r="G55" s="1">
        <v>3.30893E7</v>
      </c>
    </row>
    <row r="56">
      <c r="A56" s="2">
        <v>44642.0</v>
      </c>
      <c r="B56" s="1">
        <v>81.629997</v>
      </c>
      <c r="C56" s="1">
        <v>82.199997</v>
      </c>
      <c r="D56" s="1">
        <v>80.790001</v>
      </c>
      <c r="E56" s="1">
        <v>81.839996</v>
      </c>
      <c r="F56" s="1">
        <v>79.589928</v>
      </c>
      <c r="G56" s="1">
        <v>2.31322E7</v>
      </c>
    </row>
    <row r="57">
      <c r="A57" s="2">
        <v>44643.0</v>
      </c>
      <c r="B57" s="1">
        <v>83.339996</v>
      </c>
      <c r="C57" s="1">
        <v>84.269997</v>
      </c>
      <c r="D57" s="1">
        <v>83.050003</v>
      </c>
      <c r="E57" s="1">
        <v>83.129997</v>
      </c>
      <c r="F57" s="1">
        <v>80.84446</v>
      </c>
      <c r="G57" s="1">
        <v>2.77163E7</v>
      </c>
    </row>
    <row r="58">
      <c r="A58" s="2">
        <v>44644.0</v>
      </c>
      <c r="B58" s="1">
        <v>83.459999</v>
      </c>
      <c r="C58" s="1">
        <v>84.650002</v>
      </c>
      <c r="D58" s="1">
        <v>82.75</v>
      </c>
      <c r="E58" s="1">
        <v>83.379997</v>
      </c>
      <c r="F58" s="1">
        <v>81.087593</v>
      </c>
      <c r="G58" s="1">
        <v>1.98716E7</v>
      </c>
    </row>
    <row r="59">
      <c r="A59" s="2">
        <v>44645.0</v>
      </c>
      <c r="B59" s="1">
        <v>82.919998</v>
      </c>
      <c r="C59" s="1">
        <v>85.489998</v>
      </c>
      <c r="D59" s="1">
        <v>82.790001</v>
      </c>
      <c r="E59" s="1">
        <v>85.199997</v>
      </c>
      <c r="F59" s="1">
        <v>82.857552</v>
      </c>
      <c r="G59" s="1">
        <v>2.23983E7</v>
      </c>
    </row>
    <row r="60">
      <c r="A60" s="2">
        <v>44648.0</v>
      </c>
      <c r="B60" s="1">
        <v>83.169998</v>
      </c>
      <c r="C60" s="1">
        <v>83.309998</v>
      </c>
      <c r="D60" s="1">
        <v>82.019997</v>
      </c>
      <c r="E60" s="1">
        <v>82.809998</v>
      </c>
      <c r="F60" s="1">
        <v>80.533264</v>
      </c>
      <c r="G60" s="1">
        <v>2.15524E7</v>
      </c>
    </row>
    <row r="61">
      <c r="A61" s="2">
        <v>44649.0</v>
      </c>
      <c r="B61" s="1">
        <v>80.809998</v>
      </c>
      <c r="C61" s="1">
        <v>82.489998</v>
      </c>
      <c r="D61" s="1">
        <v>79.760002</v>
      </c>
      <c r="E61" s="1">
        <v>82.370003</v>
      </c>
      <c r="F61" s="1">
        <v>80.105362</v>
      </c>
      <c r="G61" s="1">
        <v>2.70363E7</v>
      </c>
    </row>
    <row r="62">
      <c r="A62" s="2">
        <v>44650.0</v>
      </c>
      <c r="B62" s="1">
        <v>83.059998</v>
      </c>
      <c r="C62" s="1">
        <v>84.010002</v>
      </c>
      <c r="D62" s="1">
        <v>82.709999</v>
      </c>
      <c r="E62" s="1">
        <v>83.779999</v>
      </c>
      <c r="F62" s="1">
        <v>81.476593</v>
      </c>
      <c r="G62" s="1">
        <v>2.2079E7</v>
      </c>
    </row>
    <row r="63">
      <c r="A63" s="2">
        <v>44651.0</v>
      </c>
      <c r="B63" s="1">
        <v>82.870003</v>
      </c>
      <c r="C63" s="1">
        <v>84.400002</v>
      </c>
      <c r="D63" s="1">
        <v>82.550003</v>
      </c>
      <c r="E63" s="1">
        <v>82.589996</v>
      </c>
      <c r="F63" s="1">
        <v>80.319305</v>
      </c>
      <c r="G63" s="1">
        <v>2.78615E7</v>
      </c>
    </row>
    <row r="64">
      <c r="A64" s="2">
        <v>44652.0</v>
      </c>
      <c r="B64" s="1">
        <v>81.989998</v>
      </c>
      <c r="C64" s="1">
        <v>84.139999</v>
      </c>
      <c r="D64" s="1">
        <v>81.989998</v>
      </c>
      <c r="E64" s="1">
        <v>83.120003</v>
      </c>
      <c r="F64" s="1">
        <v>80.83474</v>
      </c>
      <c r="G64" s="1">
        <v>1.86711E7</v>
      </c>
    </row>
    <row r="65">
      <c r="A65" s="2">
        <v>44655.0</v>
      </c>
      <c r="B65" s="1">
        <v>83.559998</v>
      </c>
      <c r="C65" s="1">
        <v>83.660004</v>
      </c>
      <c r="D65" s="1">
        <v>82.050003</v>
      </c>
      <c r="E65" s="1">
        <v>83.160004</v>
      </c>
      <c r="F65" s="1">
        <v>80.87365</v>
      </c>
      <c r="G65" s="1">
        <v>2.08694E7</v>
      </c>
    </row>
    <row r="66">
      <c r="A66" s="2">
        <v>44656.0</v>
      </c>
      <c r="B66" s="1">
        <v>83.5</v>
      </c>
      <c r="C66" s="1">
        <v>85.07</v>
      </c>
      <c r="D66" s="1">
        <v>82.559998</v>
      </c>
      <c r="E66" s="1">
        <v>82.730003</v>
      </c>
      <c r="F66" s="1">
        <v>80.455475</v>
      </c>
      <c r="G66" s="1">
        <v>2.17531E7</v>
      </c>
    </row>
    <row r="67">
      <c r="A67" s="2">
        <v>44657.0</v>
      </c>
      <c r="B67" s="1">
        <v>83.419998</v>
      </c>
      <c r="C67" s="1">
        <v>84.699997</v>
      </c>
      <c r="D67" s="1">
        <v>82.940002</v>
      </c>
      <c r="E67" s="1">
        <v>83.650002</v>
      </c>
      <c r="F67" s="1">
        <v>81.350174</v>
      </c>
      <c r="G67" s="1">
        <v>2.47682E7</v>
      </c>
    </row>
    <row r="68">
      <c r="A68" s="2">
        <v>44658.0</v>
      </c>
      <c r="B68" s="1">
        <v>83.830002</v>
      </c>
      <c r="C68" s="1">
        <v>85.440002</v>
      </c>
      <c r="D68" s="1">
        <v>82.709999</v>
      </c>
      <c r="E68" s="1">
        <v>85.050003</v>
      </c>
      <c r="F68" s="1">
        <v>82.711678</v>
      </c>
      <c r="G68" s="1">
        <v>2.6122E7</v>
      </c>
    </row>
    <row r="69">
      <c r="A69" s="2">
        <v>44659.0</v>
      </c>
      <c r="B69" s="1">
        <v>85.169998</v>
      </c>
      <c r="C69" s="1">
        <v>87.209999</v>
      </c>
      <c r="D69" s="1">
        <v>85.169998</v>
      </c>
      <c r="E69" s="1">
        <v>86.839996</v>
      </c>
      <c r="F69" s="1">
        <v>84.452461</v>
      </c>
      <c r="G69" s="1">
        <v>2.48665E7</v>
      </c>
    </row>
    <row r="70">
      <c r="A70" s="2">
        <v>44662.0</v>
      </c>
      <c r="B70" s="1">
        <v>85.779999</v>
      </c>
      <c r="C70" s="1">
        <v>85.93</v>
      </c>
      <c r="D70" s="1">
        <v>83.5</v>
      </c>
      <c r="E70" s="1">
        <v>83.849998</v>
      </c>
      <c r="F70" s="1">
        <v>81.54467</v>
      </c>
      <c r="G70" s="1">
        <v>2.18001E7</v>
      </c>
    </row>
    <row r="71">
      <c r="A71" s="2">
        <v>44663.0</v>
      </c>
      <c r="B71" s="1">
        <v>85.709999</v>
      </c>
      <c r="C71" s="1">
        <v>86.82</v>
      </c>
      <c r="D71" s="1">
        <v>85.379997</v>
      </c>
      <c r="E71" s="1">
        <v>85.599998</v>
      </c>
      <c r="F71" s="1">
        <v>83.246559</v>
      </c>
      <c r="G71" s="1">
        <v>2.24442E7</v>
      </c>
    </row>
    <row r="72">
      <c r="A72" s="2">
        <v>44664.0</v>
      </c>
      <c r="B72" s="1">
        <v>86.610001</v>
      </c>
      <c r="C72" s="1">
        <v>87.110001</v>
      </c>
      <c r="D72" s="1">
        <v>85.190002</v>
      </c>
      <c r="E72" s="1">
        <v>86.809998</v>
      </c>
      <c r="F72" s="1">
        <v>84.423294</v>
      </c>
      <c r="G72" s="1">
        <v>1.93068E7</v>
      </c>
    </row>
    <row r="73">
      <c r="A73" s="2">
        <v>44665.0</v>
      </c>
      <c r="B73" s="1">
        <v>86.669998</v>
      </c>
      <c r="C73" s="1">
        <v>88.459999</v>
      </c>
      <c r="D73" s="1">
        <v>86.230003</v>
      </c>
      <c r="E73" s="1">
        <v>87.830002</v>
      </c>
      <c r="F73" s="1">
        <v>85.415245</v>
      </c>
      <c r="G73" s="1">
        <v>2.45664E7</v>
      </c>
    </row>
    <row r="74">
      <c r="A74" s="2">
        <v>44669.0</v>
      </c>
      <c r="B74" s="1">
        <v>88.5</v>
      </c>
      <c r="C74" s="1">
        <v>88.889999</v>
      </c>
      <c r="D74" s="1">
        <v>87.75</v>
      </c>
      <c r="E74" s="1">
        <v>88.550003</v>
      </c>
      <c r="F74" s="1">
        <v>86.115463</v>
      </c>
      <c r="G74" s="1">
        <v>1.90323E7</v>
      </c>
    </row>
    <row r="75">
      <c r="A75" s="2">
        <v>44670.0</v>
      </c>
      <c r="B75" s="1">
        <v>88.010002</v>
      </c>
      <c r="C75" s="1">
        <v>88.660004</v>
      </c>
      <c r="D75" s="1">
        <v>87.269997</v>
      </c>
      <c r="E75" s="1">
        <v>87.760002</v>
      </c>
      <c r="F75" s="1">
        <v>85.347176</v>
      </c>
      <c r="G75" s="1">
        <v>2.03826E7</v>
      </c>
    </row>
    <row r="76">
      <c r="A76" s="2">
        <v>44671.0</v>
      </c>
      <c r="B76" s="1">
        <v>87.970001</v>
      </c>
      <c r="C76" s="1">
        <v>88.5</v>
      </c>
      <c r="D76" s="1">
        <v>87.300003</v>
      </c>
      <c r="E76" s="1">
        <v>87.959999</v>
      </c>
      <c r="F76" s="1">
        <v>85.541664</v>
      </c>
      <c r="G76" s="1">
        <v>2.06894E7</v>
      </c>
    </row>
    <row r="77">
      <c r="A77" s="2">
        <v>44672.0</v>
      </c>
      <c r="B77" s="1">
        <v>88.949997</v>
      </c>
      <c r="C77" s="1">
        <v>89.800003</v>
      </c>
      <c r="D77" s="1">
        <v>86.790001</v>
      </c>
      <c r="E77" s="1">
        <v>87.029999</v>
      </c>
      <c r="F77" s="1">
        <v>84.637238</v>
      </c>
      <c r="G77" s="1">
        <v>2.90109E7</v>
      </c>
    </row>
    <row r="78">
      <c r="A78" s="2">
        <v>44673.0</v>
      </c>
      <c r="B78" s="1">
        <v>86.660004</v>
      </c>
      <c r="C78" s="1">
        <v>88.120003</v>
      </c>
      <c r="D78" s="1">
        <v>85.0</v>
      </c>
      <c r="E78" s="1">
        <v>85.129997</v>
      </c>
      <c r="F78" s="1">
        <v>82.789474</v>
      </c>
      <c r="G78" s="1">
        <v>2.35916E7</v>
      </c>
    </row>
    <row r="79">
      <c r="A79" s="2">
        <v>44676.0</v>
      </c>
      <c r="B79" s="1">
        <v>82.370003</v>
      </c>
      <c r="C79" s="1">
        <v>82.660004</v>
      </c>
      <c r="D79" s="1">
        <v>79.290001</v>
      </c>
      <c r="E79" s="1">
        <v>82.260002</v>
      </c>
      <c r="F79" s="1">
        <v>79.99839</v>
      </c>
      <c r="G79" s="1">
        <v>3.76983E7</v>
      </c>
    </row>
    <row r="80">
      <c r="A80" s="2">
        <v>44677.0</v>
      </c>
      <c r="B80" s="1">
        <v>82.730003</v>
      </c>
      <c r="C80" s="1">
        <v>84.720001</v>
      </c>
      <c r="D80" s="1">
        <v>82.18</v>
      </c>
      <c r="E80" s="1">
        <v>82.290001</v>
      </c>
      <c r="F80" s="1">
        <v>80.027565</v>
      </c>
      <c r="G80" s="1">
        <v>2.89415E7</v>
      </c>
    </row>
    <row r="81">
      <c r="A81" s="2">
        <v>44678.0</v>
      </c>
      <c r="B81" s="1">
        <v>83.389999</v>
      </c>
      <c r="C81" s="1">
        <v>85.480003</v>
      </c>
      <c r="D81" s="1">
        <v>82.279999</v>
      </c>
      <c r="E81" s="1">
        <v>84.639999</v>
      </c>
      <c r="F81" s="1">
        <v>82.312943</v>
      </c>
      <c r="G81" s="1">
        <v>3.2773E7</v>
      </c>
    </row>
    <row r="82">
      <c r="A82" s="2">
        <v>44679.0</v>
      </c>
      <c r="B82" s="1">
        <v>84.879997</v>
      </c>
      <c r="C82" s="1">
        <v>88.139999</v>
      </c>
      <c r="D82" s="1">
        <v>84.07</v>
      </c>
      <c r="E82" s="1">
        <v>87.199997</v>
      </c>
      <c r="F82" s="1">
        <v>84.802567</v>
      </c>
      <c r="G82" s="1">
        <v>3.36838E7</v>
      </c>
    </row>
    <row r="83">
      <c r="A83" s="2">
        <v>44680.0</v>
      </c>
      <c r="B83" s="1">
        <v>88.139999</v>
      </c>
      <c r="C83" s="1">
        <v>88.139999</v>
      </c>
      <c r="D83" s="1">
        <v>84.699997</v>
      </c>
      <c r="E83" s="1">
        <v>85.25</v>
      </c>
      <c r="F83" s="1">
        <v>82.906181</v>
      </c>
      <c r="G83" s="1">
        <v>3.46565E7</v>
      </c>
    </row>
    <row r="84">
      <c r="A84" s="2">
        <v>44683.0</v>
      </c>
      <c r="B84" s="1">
        <v>85.010002</v>
      </c>
      <c r="C84" s="1">
        <v>87.040001</v>
      </c>
      <c r="D84" s="1">
        <v>84.629997</v>
      </c>
      <c r="E84" s="1">
        <v>86.410004</v>
      </c>
      <c r="F84" s="1">
        <v>84.034294</v>
      </c>
      <c r="G84" s="1">
        <v>3.63352E7</v>
      </c>
    </row>
    <row r="85">
      <c r="A85" s="2">
        <v>44684.0</v>
      </c>
      <c r="B85" s="1">
        <v>86.260002</v>
      </c>
      <c r="C85" s="1">
        <v>88.779999</v>
      </c>
      <c r="D85" s="1">
        <v>86.120003</v>
      </c>
      <c r="E85" s="1">
        <v>88.190002</v>
      </c>
      <c r="F85" s="1">
        <v>85.765343</v>
      </c>
      <c r="G85" s="1">
        <v>3.39081E7</v>
      </c>
    </row>
    <row r="86">
      <c r="A86" s="2">
        <v>44685.0</v>
      </c>
      <c r="B86" s="1">
        <v>89.5</v>
      </c>
      <c r="C86" s="1">
        <v>91.879997</v>
      </c>
      <c r="D86" s="1">
        <v>88.910004</v>
      </c>
      <c r="E86" s="1">
        <v>91.699997</v>
      </c>
      <c r="F86" s="1">
        <v>89.178841</v>
      </c>
      <c r="G86" s="1">
        <v>4.61884E7</v>
      </c>
    </row>
    <row r="87">
      <c r="A87" s="2">
        <v>44686.0</v>
      </c>
      <c r="B87" s="1">
        <v>92.040001</v>
      </c>
      <c r="C87" s="1">
        <v>92.050003</v>
      </c>
      <c r="D87" s="1">
        <v>88.389999</v>
      </c>
      <c r="E87" s="1">
        <v>90.309998</v>
      </c>
      <c r="F87" s="1">
        <v>87.827057</v>
      </c>
      <c r="G87" s="1">
        <v>4.10134E7</v>
      </c>
    </row>
    <row r="88">
      <c r="A88" s="2">
        <v>44687.0</v>
      </c>
      <c r="B88" s="1">
        <v>90.980003</v>
      </c>
      <c r="C88" s="1">
        <v>91.82</v>
      </c>
      <c r="D88" s="1">
        <v>89.349998</v>
      </c>
      <c r="E88" s="1">
        <v>91.690002</v>
      </c>
      <c r="F88" s="1">
        <v>89.169128</v>
      </c>
      <c r="G88" s="1">
        <v>2.96193E7</v>
      </c>
    </row>
    <row r="89">
      <c r="A89" s="2">
        <v>44690.0</v>
      </c>
      <c r="B89" s="1">
        <v>89.440002</v>
      </c>
      <c r="C89" s="1">
        <v>89.559998</v>
      </c>
      <c r="D89" s="1">
        <v>84.019997</v>
      </c>
      <c r="E89" s="1">
        <v>84.459999</v>
      </c>
      <c r="F89" s="1">
        <v>82.137901</v>
      </c>
      <c r="G89" s="1">
        <v>4.58516E7</v>
      </c>
    </row>
    <row r="90">
      <c r="A90" s="2">
        <v>44691.0</v>
      </c>
      <c r="B90" s="1">
        <v>85.639999</v>
      </c>
      <c r="C90" s="1">
        <v>86.889999</v>
      </c>
      <c r="D90" s="1">
        <v>83.519997</v>
      </c>
      <c r="E90" s="1">
        <v>85.019997</v>
      </c>
      <c r="F90" s="1">
        <v>82.682495</v>
      </c>
      <c r="G90" s="1">
        <v>3.44832E7</v>
      </c>
    </row>
    <row r="91">
      <c r="A91" s="2">
        <v>44692.0</v>
      </c>
      <c r="B91" s="1">
        <v>86.43</v>
      </c>
      <c r="C91" s="1">
        <v>88.940002</v>
      </c>
      <c r="D91" s="1">
        <v>86.279999</v>
      </c>
      <c r="E91" s="1">
        <v>86.790001</v>
      </c>
      <c r="F91" s="1">
        <v>84.403839</v>
      </c>
      <c r="G91" s="1">
        <v>3.30206E7</v>
      </c>
    </row>
    <row r="92">
      <c r="A92" s="2">
        <v>44693.0</v>
      </c>
      <c r="B92" s="1">
        <v>85.949997</v>
      </c>
      <c r="C92" s="1">
        <v>86.379997</v>
      </c>
      <c r="D92" s="1">
        <v>83.400002</v>
      </c>
      <c r="E92" s="1">
        <v>86.300003</v>
      </c>
      <c r="F92" s="1">
        <v>84.787003</v>
      </c>
      <c r="G92" s="1">
        <v>2.94915E7</v>
      </c>
    </row>
    <row r="93">
      <c r="A93" s="2">
        <v>44694.0</v>
      </c>
      <c r="B93" s="1">
        <v>87.360001</v>
      </c>
      <c r="C93" s="1">
        <v>88.949997</v>
      </c>
      <c r="D93" s="1">
        <v>86.349998</v>
      </c>
      <c r="E93" s="1">
        <v>88.860001</v>
      </c>
      <c r="F93" s="1">
        <v>87.302116</v>
      </c>
      <c r="G93" s="1">
        <v>2.57984E7</v>
      </c>
    </row>
    <row r="94">
      <c r="A94" s="2">
        <v>44697.0</v>
      </c>
      <c r="B94" s="1">
        <v>88.980003</v>
      </c>
      <c r="C94" s="1">
        <v>91.980003</v>
      </c>
      <c r="D94" s="1">
        <v>88.970001</v>
      </c>
      <c r="E94" s="1">
        <v>90.949997</v>
      </c>
      <c r="F94" s="1">
        <v>89.355476</v>
      </c>
      <c r="G94" s="1">
        <v>2.61012E7</v>
      </c>
    </row>
    <row r="95">
      <c r="A95" s="2">
        <v>44698.0</v>
      </c>
      <c r="B95" s="1">
        <v>91.730003</v>
      </c>
      <c r="C95" s="1">
        <v>92.449997</v>
      </c>
      <c r="D95" s="1">
        <v>91.120003</v>
      </c>
      <c r="E95" s="1">
        <v>92.110001</v>
      </c>
      <c r="F95" s="1">
        <v>90.49514</v>
      </c>
      <c r="G95" s="1">
        <v>2.31207E7</v>
      </c>
    </row>
    <row r="96">
      <c r="A96" s="2">
        <v>44699.0</v>
      </c>
      <c r="B96" s="1">
        <v>92.510002</v>
      </c>
      <c r="C96" s="1">
        <v>92.919998</v>
      </c>
      <c r="D96" s="1">
        <v>89.830002</v>
      </c>
      <c r="E96" s="1">
        <v>90.650002</v>
      </c>
      <c r="F96" s="1">
        <v>89.060745</v>
      </c>
      <c r="G96" s="1">
        <v>2.54512E7</v>
      </c>
    </row>
    <row r="97">
      <c r="A97" s="2">
        <v>44700.0</v>
      </c>
      <c r="B97" s="1">
        <v>89.0</v>
      </c>
      <c r="C97" s="1">
        <v>92.300003</v>
      </c>
      <c r="D97" s="1">
        <v>89.0</v>
      </c>
      <c r="E97" s="1">
        <v>91.139999</v>
      </c>
      <c r="F97" s="1">
        <v>89.542152</v>
      </c>
      <c r="G97" s="1">
        <v>2.43874E7</v>
      </c>
    </row>
    <row r="98">
      <c r="A98" s="2">
        <v>44701.0</v>
      </c>
      <c r="B98" s="1">
        <v>91.93</v>
      </c>
      <c r="C98" s="1">
        <v>93.589996</v>
      </c>
      <c r="D98" s="1">
        <v>90.400002</v>
      </c>
      <c r="E98" s="1">
        <v>91.860001</v>
      </c>
      <c r="F98" s="1">
        <v>90.249527</v>
      </c>
      <c r="G98" s="1">
        <v>2.8795E7</v>
      </c>
    </row>
    <row r="99">
      <c r="A99" s="2">
        <v>44704.0</v>
      </c>
      <c r="B99" s="1">
        <v>92.660004</v>
      </c>
      <c r="C99" s="1">
        <v>94.769997</v>
      </c>
      <c r="D99" s="1">
        <v>92.550003</v>
      </c>
      <c r="E99" s="1">
        <v>93.889999</v>
      </c>
      <c r="F99" s="1">
        <v>92.243935</v>
      </c>
      <c r="G99" s="1">
        <v>2.72393E7</v>
      </c>
    </row>
    <row r="100">
      <c r="A100" s="2">
        <v>44705.0</v>
      </c>
      <c r="B100" s="1">
        <v>92.82</v>
      </c>
      <c r="C100" s="1">
        <v>94.790001</v>
      </c>
      <c r="D100" s="1">
        <v>92.32</v>
      </c>
      <c r="E100" s="1">
        <v>94.400002</v>
      </c>
      <c r="F100" s="1">
        <v>92.744995</v>
      </c>
      <c r="G100" s="1">
        <v>2.42933E7</v>
      </c>
    </row>
    <row r="101">
      <c r="A101" s="2">
        <v>44706.0</v>
      </c>
      <c r="B101" s="1">
        <v>94.580002</v>
      </c>
      <c r="C101" s="1">
        <v>96.529999</v>
      </c>
      <c r="D101" s="1">
        <v>94.470001</v>
      </c>
      <c r="E101" s="1">
        <v>96.300003</v>
      </c>
      <c r="F101" s="1">
        <v>94.611679</v>
      </c>
      <c r="G101" s="1">
        <v>2.99478E7</v>
      </c>
    </row>
    <row r="102">
      <c r="A102" s="2">
        <v>44707.0</v>
      </c>
      <c r="B102" s="1">
        <v>96.599998</v>
      </c>
      <c r="C102" s="1">
        <v>97.43</v>
      </c>
      <c r="D102" s="1">
        <v>96.199997</v>
      </c>
      <c r="E102" s="1">
        <v>96.639999</v>
      </c>
      <c r="F102" s="1">
        <v>94.945724</v>
      </c>
      <c r="G102" s="1">
        <v>2.43148E7</v>
      </c>
    </row>
    <row r="103">
      <c r="A103" s="2">
        <v>44708.0</v>
      </c>
      <c r="B103" s="1">
        <v>95.949997</v>
      </c>
      <c r="C103" s="1">
        <v>97.93</v>
      </c>
      <c r="D103" s="1">
        <v>95.300003</v>
      </c>
      <c r="E103" s="1">
        <v>97.589996</v>
      </c>
      <c r="F103" s="1">
        <v>95.879059</v>
      </c>
      <c r="G103" s="1">
        <v>2.55888E7</v>
      </c>
    </row>
    <row r="104">
      <c r="A104" s="2">
        <v>44712.0</v>
      </c>
      <c r="B104" s="1">
        <v>98.559998</v>
      </c>
      <c r="C104" s="1">
        <v>99.779999</v>
      </c>
      <c r="D104" s="1">
        <v>95.709999</v>
      </c>
      <c r="E104" s="1">
        <v>96.0</v>
      </c>
      <c r="F104" s="1">
        <v>94.316948</v>
      </c>
      <c r="G104" s="1">
        <v>4.48881E7</v>
      </c>
    </row>
    <row r="105">
      <c r="A105" s="2">
        <v>44713.0</v>
      </c>
      <c r="B105" s="1">
        <v>97.019997</v>
      </c>
      <c r="C105" s="1">
        <v>98.709999</v>
      </c>
      <c r="D105" s="1">
        <v>96.620003</v>
      </c>
      <c r="E105" s="1">
        <v>97.839996</v>
      </c>
      <c r="F105" s="1">
        <v>96.12468</v>
      </c>
      <c r="G105" s="1">
        <v>2.58154E7</v>
      </c>
    </row>
    <row r="106">
      <c r="A106" s="2">
        <v>44714.0</v>
      </c>
      <c r="B106" s="1">
        <v>97.290001</v>
      </c>
      <c r="C106" s="1">
        <v>98.099998</v>
      </c>
      <c r="D106" s="1">
        <v>96.790001</v>
      </c>
      <c r="E106" s="1">
        <v>97.669998</v>
      </c>
      <c r="F106" s="1">
        <v>95.957657</v>
      </c>
      <c r="G106" s="1">
        <v>1.90891E7</v>
      </c>
    </row>
    <row r="107">
      <c r="A107" s="2">
        <v>44715.0</v>
      </c>
      <c r="B107" s="1">
        <v>97.900002</v>
      </c>
      <c r="C107" s="1">
        <v>99.660004</v>
      </c>
      <c r="D107" s="1">
        <v>97.900002</v>
      </c>
      <c r="E107" s="1">
        <v>99.089996</v>
      </c>
      <c r="F107" s="1">
        <v>97.352768</v>
      </c>
      <c r="G107" s="1">
        <v>2.10382E7</v>
      </c>
    </row>
    <row r="108">
      <c r="A108" s="2">
        <v>44718.0</v>
      </c>
      <c r="B108" s="1">
        <v>99.18</v>
      </c>
      <c r="C108" s="1">
        <v>99.779999</v>
      </c>
      <c r="D108" s="1">
        <v>98.669998</v>
      </c>
      <c r="E108" s="1">
        <v>98.839996</v>
      </c>
      <c r="F108" s="1">
        <v>97.107147</v>
      </c>
      <c r="G108" s="1">
        <v>2.06821E7</v>
      </c>
    </row>
    <row r="109">
      <c r="A109" s="2">
        <v>44719.0</v>
      </c>
      <c r="B109" s="1">
        <v>99.699997</v>
      </c>
      <c r="C109" s="1">
        <v>103.43</v>
      </c>
      <c r="D109" s="1">
        <v>99.489998</v>
      </c>
      <c r="E109" s="1">
        <v>103.370003</v>
      </c>
      <c r="F109" s="1">
        <v>101.557732</v>
      </c>
      <c r="G109" s="1">
        <v>3.78102E7</v>
      </c>
    </row>
    <row r="110">
      <c r="A110" s="2">
        <v>44720.0</v>
      </c>
      <c r="B110" s="1">
        <v>103.489998</v>
      </c>
      <c r="C110" s="1">
        <v>105.57</v>
      </c>
      <c r="D110" s="1">
        <v>102.980003</v>
      </c>
      <c r="E110" s="1">
        <v>104.589996</v>
      </c>
      <c r="F110" s="1">
        <v>102.75634</v>
      </c>
      <c r="G110" s="1">
        <v>3.16132E7</v>
      </c>
    </row>
    <row r="111">
      <c r="A111" s="2">
        <v>44721.0</v>
      </c>
      <c r="B111" s="1">
        <v>103.419998</v>
      </c>
      <c r="C111" s="1">
        <v>104.57</v>
      </c>
      <c r="D111" s="1">
        <v>102.160004</v>
      </c>
      <c r="E111" s="1">
        <v>102.330002</v>
      </c>
      <c r="F111" s="1">
        <v>100.535973</v>
      </c>
      <c r="G111" s="1">
        <v>2.6607E7</v>
      </c>
    </row>
    <row r="112">
      <c r="A112" s="2">
        <v>44722.0</v>
      </c>
      <c r="B112" s="1">
        <v>101.940002</v>
      </c>
      <c r="C112" s="1">
        <v>103.349998</v>
      </c>
      <c r="D112" s="1">
        <v>99.790001</v>
      </c>
      <c r="E112" s="1">
        <v>100.459999</v>
      </c>
      <c r="F112" s="1">
        <v>98.698746</v>
      </c>
      <c r="G112" s="1">
        <v>3.09505E7</v>
      </c>
    </row>
    <row r="113">
      <c r="A113" s="2">
        <v>44725.0</v>
      </c>
      <c r="B113" s="1">
        <v>97.519997</v>
      </c>
      <c r="C113" s="1">
        <v>97.769997</v>
      </c>
      <c r="D113" s="1">
        <v>93.919998</v>
      </c>
      <c r="E113" s="1">
        <v>95.849998</v>
      </c>
      <c r="F113" s="1">
        <v>94.169571</v>
      </c>
      <c r="G113" s="1">
        <v>3.3421E7</v>
      </c>
    </row>
    <row r="114">
      <c r="A114" s="2">
        <v>44726.0</v>
      </c>
      <c r="B114" s="1">
        <v>97.410004</v>
      </c>
      <c r="C114" s="1">
        <v>98.669998</v>
      </c>
      <c r="D114" s="1">
        <v>95.269997</v>
      </c>
      <c r="E114" s="1">
        <v>96.099998</v>
      </c>
      <c r="F114" s="1">
        <v>94.415192</v>
      </c>
      <c r="G114" s="1">
        <v>3.1264E7</v>
      </c>
    </row>
    <row r="115">
      <c r="A115" s="2">
        <v>44727.0</v>
      </c>
      <c r="B115" s="1">
        <v>95.989998</v>
      </c>
      <c r="C115" s="1">
        <v>96.57</v>
      </c>
      <c r="D115" s="1">
        <v>93.269997</v>
      </c>
      <c r="E115" s="1">
        <v>94.889999</v>
      </c>
      <c r="F115" s="1">
        <v>93.226402</v>
      </c>
      <c r="G115" s="1">
        <v>2.96208E7</v>
      </c>
    </row>
    <row r="116">
      <c r="A116" s="2">
        <v>44728.0</v>
      </c>
      <c r="B116" s="1">
        <v>92.410004</v>
      </c>
      <c r="C116" s="1">
        <v>93.129997</v>
      </c>
      <c r="D116" s="1">
        <v>90.279999</v>
      </c>
      <c r="E116" s="1">
        <v>91.389999</v>
      </c>
      <c r="F116" s="1">
        <v>89.787766</v>
      </c>
      <c r="G116" s="1">
        <v>3.56967E7</v>
      </c>
    </row>
    <row r="117">
      <c r="A117" s="2">
        <v>44729.0</v>
      </c>
      <c r="B117" s="1">
        <v>90.959999</v>
      </c>
      <c r="C117" s="1">
        <v>91.349998</v>
      </c>
      <c r="D117" s="1">
        <v>85.660004</v>
      </c>
      <c r="E117" s="1">
        <v>86.120003</v>
      </c>
      <c r="F117" s="1">
        <v>84.610161</v>
      </c>
      <c r="G117" s="1">
        <v>6.46102E7</v>
      </c>
    </row>
    <row r="118">
      <c r="A118" s="2">
        <v>44733.0</v>
      </c>
      <c r="B118" s="1">
        <v>88.580002</v>
      </c>
      <c r="C118" s="1">
        <v>92.529999</v>
      </c>
      <c r="D118" s="1">
        <v>88.519997</v>
      </c>
      <c r="E118" s="1">
        <v>91.480003</v>
      </c>
      <c r="F118" s="1">
        <v>89.87619</v>
      </c>
      <c r="G118" s="1">
        <v>3.59515E7</v>
      </c>
    </row>
    <row r="119">
      <c r="A119" s="2">
        <v>44734.0</v>
      </c>
      <c r="B119" s="1">
        <v>87.540001</v>
      </c>
      <c r="C119" s="1">
        <v>89.760002</v>
      </c>
      <c r="D119" s="1">
        <v>87.529999</v>
      </c>
      <c r="E119" s="1">
        <v>87.860001</v>
      </c>
      <c r="F119" s="1">
        <v>86.319649</v>
      </c>
      <c r="G119" s="1">
        <v>2.97272E7</v>
      </c>
    </row>
    <row r="120">
      <c r="A120" s="2">
        <v>44735.0</v>
      </c>
      <c r="B120" s="1">
        <v>88.660004</v>
      </c>
      <c r="C120" s="1">
        <v>89.050003</v>
      </c>
      <c r="D120" s="1">
        <v>83.519997</v>
      </c>
      <c r="E120" s="1">
        <v>85.209999</v>
      </c>
      <c r="F120" s="1">
        <v>83.71611</v>
      </c>
      <c r="G120" s="1">
        <v>3.57572E7</v>
      </c>
    </row>
    <row r="121">
      <c r="A121" s="2">
        <v>44736.0</v>
      </c>
      <c r="B121" s="1">
        <v>86.949997</v>
      </c>
      <c r="C121" s="1">
        <v>88.400002</v>
      </c>
      <c r="D121" s="1">
        <v>85.809998</v>
      </c>
      <c r="E121" s="1">
        <v>86.900002</v>
      </c>
      <c r="F121" s="1">
        <v>85.376488</v>
      </c>
      <c r="G121" s="1">
        <v>2.6639E7</v>
      </c>
    </row>
    <row r="122">
      <c r="A122" s="2">
        <v>44739.0</v>
      </c>
      <c r="B122" s="1">
        <v>87.809998</v>
      </c>
      <c r="C122" s="1">
        <v>90.040001</v>
      </c>
      <c r="D122" s="1">
        <v>87.669998</v>
      </c>
      <c r="E122" s="1">
        <v>89.029999</v>
      </c>
      <c r="F122" s="1">
        <v>87.469139</v>
      </c>
      <c r="G122" s="1">
        <v>2.54787E7</v>
      </c>
    </row>
    <row r="123">
      <c r="A123" s="2">
        <v>44740.0</v>
      </c>
      <c r="B123" s="1">
        <v>91.120003</v>
      </c>
      <c r="C123" s="1">
        <v>93.239998</v>
      </c>
      <c r="D123" s="1">
        <v>90.349998</v>
      </c>
      <c r="E123" s="1">
        <v>91.5</v>
      </c>
      <c r="F123" s="1">
        <v>89.895836</v>
      </c>
      <c r="G123" s="1">
        <v>3.30969E7</v>
      </c>
    </row>
    <row r="124">
      <c r="A124" s="2">
        <v>44741.0</v>
      </c>
      <c r="B124" s="1">
        <v>92.980003</v>
      </c>
      <c r="C124" s="1">
        <v>93.199997</v>
      </c>
      <c r="D124" s="1">
        <v>87.760002</v>
      </c>
      <c r="E124" s="1">
        <v>88.120003</v>
      </c>
      <c r="F124" s="1">
        <v>86.575096</v>
      </c>
      <c r="G124" s="1">
        <v>2.54009E7</v>
      </c>
    </row>
    <row r="125">
      <c r="A125" s="2">
        <v>44742.0</v>
      </c>
      <c r="B125" s="1">
        <v>86.139999</v>
      </c>
      <c r="C125" s="1">
        <v>87.599998</v>
      </c>
      <c r="D125" s="1">
        <v>84.669998</v>
      </c>
      <c r="E125" s="1">
        <v>85.639999</v>
      </c>
      <c r="F125" s="1">
        <v>84.138573</v>
      </c>
      <c r="G125" s="1">
        <v>3.99481E7</v>
      </c>
    </row>
    <row r="126">
      <c r="A126" s="2">
        <v>44743.0</v>
      </c>
      <c r="B126" s="1">
        <v>86.739998</v>
      </c>
      <c r="C126" s="1">
        <v>87.879997</v>
      </c>
      <c r="D126" s="1">
        <v>84.709999</v>
      </c>
      <c r="E126" s="1">
        <v>87.550003</v>
      </c>
      <c r="F126" s="1">
        <v>86.015083</v>
      </c>
      <c r="G126" s="1">
        <v>2.63279E7</v>
      </c>
    </row>
    <row r="127">
      <c r="A127" s="2">
        <v>44747.0</v>
      </c>
      <c r="B127" s="1">
        <v>86.339996</v>
      </c>
      <c r="C127" s="1">
        <v>86.699997</v>
      </c>
      <c r="D127" s="1">
        <v>83.010002</v>
      </c>
      <c r="E127" s="1">
        <v>84.809998</v>
      </c>
      <c r="F127" s="1">
        <v>83.32312</v>
      </c>
      <c r="G127" s="1">
        <v>3.45911E7</v>
      </c>
    </row>
    <row r="128">
      <c r="A128" s="2">
        <v>44748.0</v>
      </c>
      <c r="B128" s="1">
        <v>83.760002</v>
      </c>
      <c r="C128" s="1">
        <v>85.230003</v>
      </c>
      <c r="D128" s="1">
        <v>81.010002</v>
      </c>
      <c r="E128" s="1">
        <v>83.279999</v>
      </c>
      <c r="F128" s="1">
        <v>81.819946</v>
      </c>
      <c r="G128" s="1">
        <v>3.33757E7</v>
      </c>
    </row>
    <row r="129">
      <c r="A129" s="2">
        <v>44749.0</v>
      </c>
      <c r="B129" s="1">
        <v>85.379997</v>
      </c>
      <c r="C129" s="1">
        <v>86.760002</v>
      </c>
      <c r="D129" s="1">
        <v>85.300003</v>
      </c>
      <c r="E129" s="1">
        <v>85.940002</v>
      </c>
      <c r="F129" s="1">
        <v>84.433319</v>
      </c>
      <c r="G129" s="1">
        <v>2.38174E7</v>
      </c>
    </row>
    <row r="130">
      <c r="A130" s="2">
        <v>44750.0</v>
      </c>
      <c r="B130" s="1">
        <v>86.949997</v>
      </c>
      <c r="C130" s="1">
        <v>87.300003</v>
      </c>
      <c r="D130" s="1">
        <v>84.93</v>
      </c>
      <c r="E130" s="1">
        <v>86.080002</v>
      </c>
      <c r="F130" s="1">
        <v>84.570862</v>
      </c>
      <c r="G130" s="1">
        <v>1.76738E7</v>
      </c>
    </row>
    <row r="131">
      <c r="A131" s="2">
        <v>44753.0</v>
      </c>
      <c r="B131" s="1">
        <v>85.169998</v>
      </c>
      <c r="C131" s="1">
        <v>86.120003</v>
      </c>
      <c r="D131" s="1">
        <v>84.360001</v>
      </c>
      <c r="E131" s="1">
        <v>85.639999</v>
      </c>
      <c r="F131" s="1">
        <v>84.138573</v>
      </c>
      <c r="G131" s="1">
        <v>1.56038E7</v>
      </c>
    </row>
    <row r="132">
      <c r="A132" s="2">
        <v>44754.0</v>
      </c>
      <c r="B132" s="1">
        <v>83.779999</v>
      </c>
      <c r="C132" s="1">
        <v>85.050003</v>
      </c>
      <c r="D132" s="1">
        <v>82.860001</v>
      </c>
      <c r="E132" s="1">
        <v>84.5</v>
      </c>
      <c r="F132" s="1">
        <v>83.018562</v>
      </c>
      <c r="G132" s="1">
        <v>2.1013E7</v>
      </c>
    </row>
    <row r="133">
      <c r="A133" s="2">
        <v>44755.0</v>
      </c>
      <c r="B133" s="1">
        <v>83.379997</v>
      </c>
      <c r="C133" s="1">
        <v>86.309998</v>
      </c>
      <c r="D133" s="1">
        <v>83.300003</v>
      </c>
      <c r="E133" s="1">
        <v>84.839996</v>
      </c>
      <c r="F133" s="1">
        <v>83.352592</v>
      </c>
      <c r="G133" s="1">
        <v>1.99286E7</v>
      </c>
    </row>
    <row r="134">
      <c r="A134" s="2">
        <v>44756.0</v>
      </c>
      <c r="B134" s="1">
        <v>81.849998</v>
      </c>
      <c r="C134" s="1">
        <v>83.309998</v>
      </c>
      <c r="D134" s="1">
        <v>80.690002</v>
      </c>
      <c r="E134" s="1">
        <v>83.139999</v>
      </c>
      <c r="F134" s="1">
        <v>81.682404</v>
      </c>
      <c r="G134" s="1">
        <v>2.6343E7</v>
      </c>
    </row>
    <row r="135">
      <c r="A135" s="2">
        <v>44757.0</v>
      </c>
      <c r="B135" s="1">
        <v>84.800003</v>
      </c>
      <c r="C135" s="1">
        <v>84.879997</v>
      </c>
      <c r="D135" s="1">
        <v>82.900002</v>
      </c>
      <c r="E135" s="1">
        <v>84.540001</v>
      </c>
      <c r="F135" s="1">
        <v>83.057854</v>
      </c>
      <c r="G135" s="1">
        <v>1.72437E7</v>
      </c>
    </row>
    <row r="136">
      <c r="A136" s="2">
        <v>44760.0</v>
      </c>
      <c r="B136" s="1">
        <v>86.580002</v>
      </c>
      <c r="C136" s="1">
        <v>87.940002</v>
      </c>
      <c r="D136" s="1">
        <v>85.75</v>
      </c>
      <c r="E136" s="1">
        <v>86.099998</v>
      </c>
      <c r="F136" s="1">
        <v>84.590508</v>
      </c>
      <c r="G136" s="1">
        <v>1.93958E7</v>
      </c>
    </row>
    <row r="137">
      <c r="A137" s="2">
        <v>44761.0</v>
      </c>
      <c r="B137" s="1">
        <v>86.419998</v>
      </c>
      <c r="C137" s="1">
        <v>88.519997</v>
      </c>
      <c r="D137" s="1">
        <v>86.25</v>
      </c>
      <c r="E137" s="1">
        <v>88.269997</v>
      </c>
      <c r="F137" s="1">
        <v>86.722458</v>
      </c>
      <c r="G137" s="1">
        <v>1.82489E7</v>
      </c>
    </row>
    <row r="138">
      <c r="A138" s="2">
        <v>44762.0</v>
      </c>
      <c r="B138" s="1">
        <v>87.580002</v>
      </c>
      <c r="C138" s="1">
        <v>89.650002</v>
      </c>
      <c r="D138" s="1">
        <v>87.25</v>
      </c>
      <c r="E138" s="1">
        <v>89.239998</v>
      </c>
      <c r="F138" s="1">
        <v>87.675453</v>
      </c>
      <c r="G138" s="1">
        <v>1.65844E7</v>
      </c>
    </row>
    <row r="139">
      <c r="A139" s="2">
        <v>44763.0</v>
      </c>
      <c r="B139" s="1">
        <v>86.93</v>
      </c>
      <c r="C139" s="1">
        <v>87.800003</v>
      </c>
      <c r="D139" s="1">
        <v>85.209999</v>
      </c>
      <c r="E139" s="1">
        <v>87.75</v>
      </c>
      <c r="F139" s="1">
        <v>86.211578</v>
      </c>
      <c r="G139" s="1">
        <v>2.13757E7</v>
      </c>
    </row>
    <row r="140">
      <c r="A140" s="2">
        <v>44764.0</v>
      </c>
      <c r="B140" s="1">
        <v>87.550003</v>
      </c>
      <c r="C140" s="1">
        <v>88.470001</v>
      </c>
      <c r="D140" s="1">
        <v>86.629997</v>
      </c>
      <c r="E140" s="1">
        <v>87.080002</v>
      </c>
      <c r="F140" s="1">
        <v>85.553322</v>
      </c>
      <c r="G140" s="1">
        <v>1.54795E7</v>
      </c>
    </row>
    <row r="141">
      <c r="A141" s="2">
        <v>44767.0</v>
      </c>
      <c r="B141" s="1">
        <v>88.160004</v>
      </c>
      <c r="C141" s="1">
        <v>90.129997</v>
      </c>
      <c r="D141" s="1">
        <v>87.419998</v>
      </c>
      <c r="E141" s="1">
        <v>89.980003</v>
      </c>
      <c r="F141" s="1">
        <v>88.402489</v>
      </c>
      <c r="G141" s="1">
        <v>1.75364E7</v>
      </c>
    </row>
    <row r="142">
      <c r="A142" s="2">
        <v>44768.0</v>
      </c>
      <c r="B142" s="1">
        <v>91.129997</v>
      </c>
      <c r="C142" s="1">
        <v>91.279999</v>
      </c>
      <c r="D142" s="1">
        <v>89.0</v>
      </c>
      <c r="E142" s="1">
        <v>89.629997</v>
      </c>
      <c r="F142" s="1">
        <v>88.058617</v>
      </c>
      <c r="G142" s="1">
        <v>1.51412E7</v>
      </c>
    </row>
    <row r="143">
      <c r="A143" s="2">
        <v>44769.0</v>
      </c>
      <c r="B143" s="1">
        <v>90.279999</v>
      </c>
      <c r="C143" s="1">
        <v>92.0</v>
      </c>
      <c r="D143" s="1">
        <v>89.400002</v>
      </c>
      <c r="E143" s="1">
        <v>91.57</v>
      </c>
      <c r="F143" s="1">
        <v>89.964615</v>
      </c>
      <c r="G143" s="1">
        <v>1.8047E7</v>
      </c>
    </row>
    <row r="144">
      <c r="A144" s="2">
        <v>44770.0</v>
      </c>
      <c r="B144" s="1">
        <v>92.18</v>
      </c>
      <c r="C144" s="1">
        <v>93.25</v>
      </c>
      <c r="D144" s="1">
        <v>91.010002</v>
      </c>
      <c r="E144" s="1">
        <v>92.639999</v>
      </c>
      <c r="F144" s="1">
        <v>91.015854</v>
      </c>
      <c r="G144" s="1">
        <v>2.03531E7</v>
      </c>
    </row>
    <row r="145">
      <c r="A145" s="2">
        <v>44771.0</v>
      </c>
      <c r="B145" s="1">
        <v>94.449997</v>
      </c>
      <c r="C145" s="1">
        <v>97.519997</v>
      </c>
      <c r="D145" s="1">
        <v>94.099998</v>
      </c>
      <c r="E145" s="1">
        <v>96.93</v>
      </c>
      <c r="F145" s="1">
        <v>95.230637</v>
      </c>
      <c r="G145" s="1">
        <v>2.98258E7</v>
      </c>
    </row>
    <row r="146">
      <c r="A146" s="2">
        <v>44774.0</v>
      </c>
      <c r="B146" s="1">
        <v>94.790001</v>
      </c>
      <c r="C146" s="1">
        <v>95.349998</v>
      </c>
      <c r="D146" s="1">
        <v>93.230003</v>
      </c>
      <c r="E146" s="1">
        <v>94.480003</v>
      </c>
      <c r="F146" s="1">
        <v>92.823601</v>
      </c>
      <c r="G146" s="1">
        <v>2.07932E7</v>
      </c>
    </row>
    <row r="147">
      <c r="A147" s="2">
        <v>44775.0</v>
      </c>
      <c r="B147" s="1">
        <v>94.690002</v>
      </c>
      <c r="C147" s="1">
        <v>95.199997</v>
      </c>
      <c r="D147" s="1">
        <v>93.82</v>
      </c>
      <c r="E147" s="1">
        <v>94.07</v>
      </c>
      <c r="F147" s="1">
        <v>92.420784</v>
      </c>
      <c r="G147" s="1">
        <v>1.67225E7</v>
      </c>
    </row>
    <row r="148">
      <c r="A148" s="2">
        <v>44776.0</v>
      </c>
      <c r="B148" s="1">
        <v>94.419998</v>
      </c>
      <c r="C148" s="1">
        <v>94.419998</v>
      </c>
      <c r="D148" s="1">
        <v>90.790001</v>
      </c>
      <c r="E148" s="1">
        <v>91.019997</v>
      </c>
      <c r="F148" s="1">
        <v>89.424248</v>
      </c>
      <c r="G148" s="1">
        <v>2.35808E7</v>
      </c>
    </row>
    <row r="149">
      <c r="A149" s="2">
        <v>44777.0</v>
      </c>
      <c r="B149" s="1">
        <v>90.309998</v>
      </c>
      <c r="C149" s="1">
        <v>90.339996</v>
      </c>
      <c r="D149" s="1">
        <v>86.43</v>
      </c>
      <c r="E149" s="1">
        <v>87.190002</v>
      </c>
      <c r="F149" s="1">
        <v>85.6614</v>
      </c>
      <c r="G149" s="1">
        <v>3.18215E7</v>
      </c>
    </row>
    <row r="150">
      <c r="A150" s="2">
        <v>44778.0</v>
      </c>
      <c r="B150" s="1">
        <v>86.360001</v>
      </c>
      <c r="C150" s="1">
        <v>89.690002</v>
      </c>
      <c r="D150" s="1">
        <v>86.279999</v>
      </c>
      <c r="E150" s="1">
        <v>88.449997</v>
      </c>
      <c r="F150" s="1">
        <v>86.8993</v>
      </c>
      <c r="G150" s="1">
        <v>1.7408E7</v>
      </c>
    </row>
    <row r="151">
      <c r="A151" s="2">
        <v>44781.0</v>
      </c>
      <c r="B151" s="1">
        <v>88.610001</v>
      </c>
      <c r="C151" s="1">
        <v>89.599998</v>
      </c>
      <c r="D151" s="1">
        <v>88.220001</v>
      </c>
      <c r="E151" s="1">
        <v>88.949997</v>
      </c>
      <c r="F151" s="1">
        <v>87.390541</v>
      </c>
      <c r="G151" s="1">
        <v>1.44585E7</v>
      </c>
    </row>
    <row r="152">
      <c r="A152" s="2">
        <v>44782.0</v>
      </c>
      <c r="B152" s="1">
        <v>90.050003</v>
      </c>
      <c r="C152" s="1">
        <v>91.610001</v>
      </c>
      <c r="D152" s="1">
        <v>89.949997</v>
      </c>
      <c r="E152" s="1">
        <v>90.589996</v>
      </c>
      <c r="F152" s="1">
        <v>89.001785</v>
      </c>
      <c r="G152" s="1">
        <v>1.90834E7</v>
      </c>
    </row>
    <row r="153">
      <c r="A153" s="2">
        <v>44783.0</v>
      </c>
      <c r="B153" s="1">
        <v>90.68</v>
      </c>
      <c r="C153" s="1">
        <v>91.790001</v>
      </c>
      <c r="D153" s="1">
        <v>89.190002</v>
      </c>
      <c r="E153" s="1">
        <v>91.449997</v>
      </c>
      <c r="F153" s="1">
        <v>89.84671</v>
      </c>
      <c r="G153" s="1">
        <v>1.8302E7</v>
      </c>
    </row>
    <row r="154">
      <c r="A154" s="2">
        <v>44784.0</v>
      </c>
      <c r="B154" s="1">
        <v>91.839996</v>
      </c>
      <c r="C154" s="1">
        <v>94.300003</v>
      </c>
      <c r="D154" s="1">
        <v>91.440002</v>
      </c>
      <c r="E154" s="1">
        <v>93.190002</v>
      </c>
      <c r="F154" s="1">
        <v>92.445793</v>
      </c>
      <c r="G154" s="1">
        <v>1.87979E7</v>
      </c>
    </row>
    <row r="155">
      <c r="A155" s="2">
        <v>44785.0</v>
      </c>
      <c r="B155" s="1">
        <v>92.480003</v>
      </c>
      <c r="C155" s="1">
        <v>94.019997</v>
      </c>
      <c r="D155" s="1">
        <v>92.110001</v>
      </c>
      <c r="E155" s="1">
        <v>94.0</v>
      </c>
      <c r="F155" s="1">
        <v>93.249321</v>
      </c>
      <c r="G155" s="1">
        <v>1.50582E7</v>
      </c>
    </row>
    <row r="156">
      <c r="A156" s="2">
        <v>44788.0</v>
      </c>
      <c r="B156" s="1">
        <v>90.529999</v>
      </c>
      <c r="C156" s="1">
        <v>92.730003</v>
      </c>
      <c r="D156" s="1">
        <v>89.660004</v>
      </c>
      <c r="E156" s="1">
        <v>92.32</v>
      </c>
      <c r="F156" s="1">
        <v>91.582733</v>
      </c>
      <c r="G156" s="1">
        <v>2.07552E7</v>
      </c>
    </row>
    <row r="157">
      <c r="A157" s="2">
        <v>44789.0</v>
      </c>
      <c r="B157" s="1">
        <v>92.029999</v>
      </c>
      <c r="C157" s="1">
        <v>92.889999</v>
      </c>
      <c r="D157" s="1">
        <v>91.290001</v>
      </c>
      <c r="E157" s="1">
        <v>91.459999</v>
      </c>
      <c r="F157" s="1">
        <v>90.729607</v>
      </c>
      <c r="G157" s="1">
        <v>1.40382E7</v>
      </c>
    </row>
    <row r="158">
      <c r="A158" s="2">
        <v>44790.0</v>
      </c>
      <c r="B158" s="1">
        <v>91.269997</v>
      </c>
      <c r="C158" s="1">
        <v>93.209999</v>
      </c>
      <c r="D158" s="1">
        <v>90.919998</v>
      </c>
      <c r="E158" s="1">
        <v>92.199997</v>
      </c>
      <c r="F158" s="1">
        <v>91.463692</v>
      </c>
      <c r="G158" s="1">
        <v>1.3678E7</v>
      </c>
    </row>
    <row r="159">
      <c r="A159" s="2">
        <v>44791.0</v>
      </c>
      <c r="B159" s="1">
        <v>93.150002</v>
      </c>
      <c r="C159" s="1">
        <v>95.309998</v>
      </c>
      <c r="D159" s="1">
        <v>93.089996</v>
      </c>
      <c r="E159" s="1">
        <v>94.379997</v>
      </c>
      <c r="F159" s="1">
        <v>93.626282</v>
      </c>
      <c r="G159" s="1">
        <v>1.77704E7</v>
      </c>
    </row>
    <row r="160">
      <c r="A160" s="2">
        <v>44792.0</v>
      </c>
      <c r="B160" s="1">
        <v>94.160004</v>
      </c>
      <c r="C160" s="1">
        <v>95.199997</v>
      </c>
      <c r="D160" s="1">
        <v>93.800003</v>
      </c>
      <c r="E160" s="1">
        <v>94.080002</v>
      </c>
      <c r="F160" s="1">
        <v>93.328682</v>
      </c>
      <c r="G160" s="1">
        <v>1.61286E7</v>
      </c>
    </row>
    <row r="161">
      <c r="A161" s="2">
        <v>44795.0</v>
      </c>
      <c r="B161" s="1">
        <v>93.419998</v>
      </c>
      <c r="C161" s="1">
        <v>94.489998</v>
      </c>
      <c r="D161" s="1">
        <v>91.860001</v>
      </c>
      <c r="E161" s="1">
        <v>94.010002</v>
      </c>
      <c r="F161" s="1">
        <v>93.259239</v>
      </c>
      <c r="G161" s="1">
        <v>1.60199E7</v>
      </c>
    </row>
    <row r="162">
      <c r="A162" s="2">
        <v>44796.0</v>
      </c>
      <c r="B162" s="1">
        <v>95.550003</v>
      </c>
      <c r="C162" s="1">
        <v>98.410004</v>
      </c>
      <c r="D162" s="1">
        <v>95.449997</v>
      </c>
      <c r="E162" s="1">
        <v>98.0</v>
      </c>
      <c r="F162" s="1">
        <v>97.217377</v>
      </c>
      <c r="G162" s="1">
        <v>2.37647E7</v>
      </c>
    </row>
    <row r="163">
      <c r="A163" s="2">
        <v>44797.0</v>
      </c>
      <c r="B163" s="1">
        <v>98.010002</v>
      </c>
      <c r="C163" s="1">
        <v>98.970001</v>
      </c>
      <c r="D163" s="1">
        <v>97.360001</v>
      </c>
      <c r="E163" s="1">
        <v>98.580002</v>
      </c>
      <c r="F163" s="1">
        <v>97.792747</v>
      </c>
      <c r="G163" s="1">
        <v>1.70503E7</v>
      </c>
    </row>
    <row r="164">
      <c r="A164" s="2">
        <v>44798.0</v>
      </c>
      <c r="B164" s="1">
        <v>98.919998</v>
      </c>
      <c r="C164" s="1">
        <v>99.860001</v>
      </c>
      <c r="D164" s="1">
        <v>98.099998</v>
      </c>
      <c r="E164" s="1">
        <v>99.089996</v>
      </c>
      <c r="F164" s="1">
        <v>98.298668</v>
      </c>
      <c r="G164" s="1">
        <v>1.53057E7</v>
      </c>
    </row>
    <row r="165">
      <c r="A165" s="2">
        <v>44799.0</v>
      </c>
      <c r="B165" s="1">
        <v>98.769997</v>
      </c>
      <c r="C165" s="1">
        <v>99.910004</v>
      </c>
      <c r="D165" s="1">
        <v>97.419998</v>
      </c>
      <c r="E165" s="1">
        <v>97.870003</v>
      </c>
      <c r="F165" s="1">
        <v>97.088417</v>
      </c>
      <c r="G165" s="1">
        <v>1.55314E7</v>
      </c>
    </row>
    <row r="166">
      <c r="A166" s="2">
        <v>44802.0</v>
      </c>
      <c r="B166" s="1">
        <v>98.18</v>
      </c>
      <c r="C166" s="1">
        <v>101.559998</v>
      </c>
      <c r="D166" s="1">
        <v>98.139999</v>
      </c>
      <c r="E166" s="1">
        <v>100.120003</v>
      </c>
      <c r="F166" s="1">
        <v>99.32045</v>
      </c>
      <c r="G166" s="1">
        <v>2.30592E7</v>
      </c>
    </row>
    <row r="167">
      <c r="A167" s="2">
        <v>44803.0</v>
      </c>
      <c r="B167" s="1">
        <v>98.360001</v>
      </c>
      <c r="C167" s="1">
        <v>98.620003</v>
      </c>
      <c r="D167" s="1">
        <v>95.82</v>
      </c>
      <c r="E167" s="1">
        <v>96.309998</v>
      </c>
      <c r="F167" s="1">
        <v>95.540871</v>
      </c>
      <c r="G167" s="1">
        <v>1.70868E7</v>
      </c>
    </row>
    <row r="168">
      <c r="A168" s="2">
        <v>44804.0</v>
      </c>
      <c r="B168" s="1">
        <v>94.029999</v>
      </c>
      <c r="C168" s="1">
        <v>96.839996</v>
      </c>
      <c r="D168" s="1">
        <v>93.589996</v>
      </c>
      <c r="E168" s="1">
        <v>95.589996</v>
      </c>
      <c r="F168" s="1">
        <v>94.826622</v>
      </c>
      <c r="G168" s="1">
        <v>1.83409E7</v>
      </c>
    </row>
    <row r="169">
      <c r="A169" s="2">
        <v>44805.0</v>
      </c>
      <c r="B169" s="1">
        <v>94.419998</v>
      </c>
      <c r="C169" s="1">
        <v>95.07</v>
      </c>
      <c r="D169" s="1">
        <v>92.290001</v>
      </c>
      <c r="E169" s="1">
        <v>93.870003</v>
      </c>
      <c r="F169" s="1">
        <v>93.120361</v>
      </c>
      <c r="G169" s="1">
        <v>1.6423E7</v>
      </c>
    </row>
    <row r="170">
      <c r="A170" s="2">
        <v>44806.0</v>
      </c>
      <c r="B170" s="1">
        <v>96.349998</v>
      </c>
      <c r="C170" s="1">
        <v>96.790001</v>
      </c>
      <c r="D170" s="1">
        <v>95.110001</v>
      </c>
      <c r="E170" s="1">
        <v>95.589996</v>
      </c>
      <c r="F170" s="1">
        <v>94.826622</v>
      </c>
      <c r="G170" s="1">
        <v>1.82068E7</v>
      </c>
    </row>
    <row r="171">
      <c r="A171" s="2">
        <v>44810.0</v>
      </c>
      <c r="B171" s="1">
        <v>96.160004</v>
      </c>
      <c r="C171" s="1">
        <v>96.589996</v>
      </c>
      <c r="D171" s="1">
        <v>94.510002</v>
      </c>
      <c r="E171" s="1">
        <v>94.949997</v>
      </c>
      <c r="F171" s="1">
        <v>94.191734</v>
      </c>
      <c r="G171" s="1">
        <v>1.92015E7</v>
      </c>
    </row>
    <row r="172">
      <c r="A172" s="2">
        <v>44811.0</v>
      </c>
      <c r="B172" s="1">
        <v>93.190002</v>
      </c>
      <c r="C172" s="1">
        <v>94.589996</v>
      </c>
      <c r="D172" s="1">
        <v>92.300003</v>
      </c>
      <c r="E172" s="1">
        <v>94.139999</v>
      </c>
      <c r="F172" s="1">
        <v>93.388199</v>
      </c>
      <c r="G172" s="1">
        <v>1.62747E7</v>
      </c>
    </row>
    <row r="173">
      <c r="A173" s="2">
        <v>44812.0</v>
      </c>
      <c r="B173" s="1">
        <v>94.660004</v>
      </c>
      <c r="C173" s="1">
        <v>95.419998</v>
      </c>
      <c r="D173" s="1">
        <v>93.720001</v>
      </c>
      <c r="E173" s="1">
        <v>94.910004</v>
      </c>
      <c r="F173" s="1">
        <v>94.152054</v>
      </c>
      <c r="G173" s="1">
        <v>1.87592E7</v>
      </c>
    </row>
    <row r="174">
      <c r="A174" s="2">
        <v>44813.0</v>
      </c>
      <c r="B174" s="1">
        <v>96.519997</v>
      </c>
      <c r="C174" s="1">
        <v>97.0</v>
      </c>
      <c r="D174" s="1">
        <v>95.32</v>
      </c>
      <c r="E174" s="1">
        <v>96.5</v>
      </c>
      <c r="F174" s="1">
        <v>95.729355</v>
      </c>
      <c r="G174" s="1">
        <v>1.7158E7</v>
      </c>
    </row>
    <row r="175">
      <c r="A175" s="2">
        <v>44816.0</v>
      </c>
      <c r="B175" s="1">
        <v>97.650002</v>
      </c>
      <c r="C175" s="1">
        <v>99.190002</v>
      </c>
      <c r="D175" s="1">
        <v>96.879997</v>
      </c>
      <c r="E175" s="1">
        <v>97.610001</v>
      </c>
      <c r="F175" s="1">
        <v>96.83049</v>
      </c>
      <c r="G175" s="1">
        <v>1.61189E7</v>
      </c>
    </row>
    <row r="176">
      <c r="A176" s="2">
        <v>44817.0</v>
      </c>
      <c r="B176" s="1">
        <v>96.610001</v>
      </c>
      <c r="C176" s="1">
        <v>97.779999</v>
      </c>
      <c r="D176" s="1">
        <v>94.910004</v>
      </c>
      <c r="E176" s="1">
        <v>95.330002</v>
      </c>
      <c r="F176" s="1">
        <v>94.568703</v>
      </c>
      <c r="G176" s="1">
        <v>1.82291E7</v>
      </c>
    </row>
    <row r="177">
      <c r="A177" s="2">
        <v>44818.0</v>
      </c>
      <c r="B177" s="1">
        <v>96.190002</v>
      </c>
      <c r="C177" s="1">
        <v>98.559998</v>
      </c>
      <c r="D177" s="1">
        <v>96.150002</v>
      </c>
      <c r="E177" s="1">
        <v>97.669998</v>
      </c>
      <c r="F177" s="1">
        <v>96.890007</v>
      </c>
      <c r="G177" s="1">
        <v>2.26557E7</v>
      </c>
    </row>
    <row r="178">
      <c r="A178" s="2">
        <v>44819.0</v>
      </c>
      <c r="B178" s="1">
        <v>96.220001</v>
      </c>
      <c r="C178" s="1">
        <v>96.540001</v>
      </c>
      <c r="D178" s="1">
        <v>94.050003</v>
      </c>
      <c r="E178" s="1">
        <v>94.830002</v>
      </c>
      <c r="F178" s="1">
        <v>94.072693</v>
      </c>
      <c r="G178" s="1">
        <v>2.10923E7</v>
      </c>
    </row>
    <row r="179">
      <c r="A179" s="2">
        <v>44820.0</v>
      </c>
      <c r="B179" s="1">
        <v>95.07</v>
      </c>
      <c r="C179" s="1">
        <v>95.339996</v>
      </c>
      <c r="D179" s="1">
        <v>92.0</v>
      </c>
      <c r="E179" s="1">
        <v>93.209999</v>
      </c>
      <c r="F179" s="1">
        <v>92.46563</v>
      </c>
      <c r="G179" s="1">
        <v>3.78747E7</v>
      </c>
    </row>
    <row r="180">
      <c r="A180" s="2">
        <v>44823.0</v>
      </c>
      <c r="B180" s="1">
        <v>91.010002</v>
      </c>
      <c r="C180" s="1">
        <v>93.489998</v>
      </c>
      <c r="D180" s="1">
        <v>91.0</v>
      </c>
      <c r="E180" s="1">
        <v>93.199997</v>
      </c>
      <c r="F180" s="1">
        <v>92.455704</v>
      </c>
      <c r="G180" s="1">
        <v>1.53421E7</v>
      </c>
    </row>
    <row r="181">
      <c r="A181" s="2">
        <v>44824.0</v>
      </c>
      <c r="B181" s="1">
        <v>92.730003</v>
      </c>
      <c r="C181" s="1">
        <v>92.93</v>
      </c>
      <c r="D181" s="1">
        <v>91.639999</v>
      </c>
      <c r="E181" s="1">
        <v>92.440002</v>
      </c>
      <c r="F181" s="1">
        <v>91.701782</v>
      </c>
      <c r="G181" s="1">
        <v>1.47125E7</v>
      </c>
    </row>
    <row r="182">
      <c r="A182" s="2">
        <v>44825.0</v>
      </c>
      <c r="B182" s="1">
        <v>93.57</v>
      </c>
      <c r="C182" s="1">
        <v>93.879997</v>
      </c>
      <c r="D182" s="1">
        <v>90.870003</v>
      </c>
      <c r="E182" s="1">
        <v>90.949997</v>
      </c>
      <c r="F182" s="1">
        <v>90.223679</v>
      </c>
      <c r="G182" s="1">
        <v>1.73324E7</v>
      </c>
    </row>
    <row r="183">
      <c r="A183" s="2">
        <v>44826.0</v>
      </c>
      <c r="B183" s="1">
        <v>92.199997</v>
      </c>
      <c r="C183" s="1">
        <v>92.660004</v>
      </c>
      <c r="D183" s="1">
        <v>90.519997</v>
      </c>
      <c r="E183" s="1">
        <v>90.57</v>
      </c>
      <c r="F183" s="1">
        <v>89.84671</v>
      </c>
      <c r="G183" s="1">
        <v>1.61394E7</v>
      </c>
    </row>
    <row r="184">
      <c r="A184" s="2">
        <v>44827.0</v>
      </c>
      <c r="B184" s="1">
        <v>87.5</v>
      </c>
      <c r="C184" s="1">
        <v>87.5</v>
      </c>
      <c r="D184" s="1">
        <v>84.849998</v>
      </c>
      <c r="E184" s="1">
        <v>85.75</v>
      </c>
      <c r="F184" s="1">
        <v>85.065208</v>
      </c>
      <c r="G184" s="1">
        <v>2.77388E7</v>
      </c>
    </row>
    <row r="185">
      <c r="A185" s="2">
        <v>44830.0</v>
      </c>
      <c r="B185" s="1">
        <v>84.900002</v>
      </c>
      <c r="C185" s="1">
        <v>86.220001</v>
      </c>
      <c r="D185" s="1">
        <v>83.889999</v>
      </c>
      <c r="E185" s="1">
        <v>83.980003</v>
      </c>
      <c r="F185" s="1">
        <v>83.309341</v>
      </c>
      <c r="G185" s="1">
        <v>2.20434E7</v>
      </c>
    </row>
    <row r="186">
      <c r="A186" s="2">
        <v>44831.0</v>
      </c>
      <c r="B186" s="1">
        <v>85.610001</v>
      </c>
      <c r="C186" s="1">
        <v>86.959999</v>
      </c>
      <c r="D186" s="1">
        <v>84.809998</v>
      </c>
      <c r="E186" s="1">
        <v>85.739998</v>
      </c>
      <c r="F186" s="1">
        <v>85.055283</v>
      </c>
      <c r="G186" s="1">
        <v>1.73073E7</v>
      </c>
    </row>
    <row r="187">
      <c r="A187" s="2">
        <v>44832.0</v>
      </c>
      <c r="B187" s="1">
        <v>86.120003</v>
      </c>
      <c r="C187" s="1">
        <v>89.300003</v>
      </c>
      <c r="D187" s="1">
        <v>85.919998</v>
      </c>
      <c r="E187" s="1">
        <v>88.860001</v>
      </c>
      <c r="F187" s="1">
        <v>88.150368</v>
      </c>
      <c r="G187" s="1">
        <v>1.95433E7</v>
      </c>
    </row>
    <row r="188">
      <c r="A188" s="2">
        <v>44833.0</v>
      </c>
      <c r="B188" s="1">
        <v>88.18</v>
      </c>
      <c r="C188" s="1">
        <v>89.360001</v>
      </c>
      <c r="D188" s="1">
        <v>87.129997</v>
      </c>
      <c r="E188" s="1">
        <v>88.68</v>
      </c>
      <c r="F188" s="1">
        <v>87.971809</v>
      </c>
      <c r="G188" s="1">
        <v>1.7896E7</v>
      </c>
    </row>
    <row r="189">
      <c r="A189" s="2">
        <v>44834.0</v>
      </c>
      <c r="B189" s="1">
        <v>88.169998</v>
      </c>
      <c r="C189" s="1">
        <v>89.040001</v>
      </c>
      <c r="D189" s="1">
        <v>87.309998</v>
      </c>
      <c r="E189" s="1">
        <v>87.309998</v>
      </c>
      <c r="F189" s="1">
        <v>86.612747</v>
      </c>
      <c r="G189" s="1">
        <v>2.13576E7</v>
      </c>
    </row>
    <row r="190">
      <c r="A190" s="2">
        <v>44837.0</v>
      </c>
      <c r="B190" s="1">
        <v>90.040001</v>
      </c>
      <c r="C190" s="1">
        <v>92.360001</v>
      </c>
      <c r="D190" s="1">
        <v>89.720001</v>
      </c>
      <c r="E190" s="1">
        <v>91.919998</v>
      </c>
      <c r="F190" s="1">
        <v>91.185928</v>
      </c>
      <c r="G190" s="1">
        <v>2.38813E7</v>
      </c>
    </row>
    <row r="191">
      <c r="A191" s="2">
        <v>44838.0</v>
      </c>
      <c r="B191" s="1">
        <v>93.239998</v>
      </c>
      <c r="C191" s="1">
        <v>95.360001</v>
      </c>
      <c r="D191" s="1">
        <v>92.709999</v>
      </c>
      <c r="E191" s="1">
        <v>95.269997</v>
      </c>
      <c r="F191" s="1">
        <v>94.509178</v>
      </c>
      <c r="G191" s="1">
        <v>2.21337E7</v>
      </c>
    </row>
    <row r="192">
      <c r="A192" s="2">
        <v>44839.0</v>
      </c>
      <c r="B192" s="1">
        <v>95.75</v>
      </c>
      <c r="C192" s="1">
        <v>99.989998</v>
      </c>
      <c r="D192" s="1">
        <v>95.660004</v>
      </c>
      <c r="E192" s="1">
        <v>99.120003</v>
      </c>
      <c r="F192" s="1">
        <v>98.328438</v>
      </c>
      <c r="G192" s="1">
        <v>3.48577E7</v>
      </c>
    </row>
    <row r="193">
      <c r="A193" s="2">
        <v>44840.0</v>
      </c>
      <c r="B193" s="1">
        <v>98.470001</v>
      </c>
      <c r="C193" s="1">
        <v>102.18</v>
      </c>
      <c r="D193" s="1">
        <v>98.330002</v>
      </c>
      <c r="E193" s="1">
        <v>102.059998</v>
      </c>
      <c r="F193" s="1">
        <v>101.244949</v>
      </c>
      <c r="G193" s="1">
        <v>2.91247E7</v>
      </c>
    </row>
    <row r="194">
      <c r="A194" s="2">
        <v>44841.0</v>
      </c>
      <c r="B194" s="1">
        <v>102.190002</v>
      </c>
      <c r="C194" s="1">
        <v>103.32</v>
      </c>
      <c r="D194" s="1">
        <v>100.18</v>
      </c>
      <c r="E194" s="1">
        <v>101.029999</v>
      </c>
      <c r="F194" s="1">
        <v>100.223175</v>
      </c>
      <c r="G194" s="1">
        <v>2.45076E7</v>
      </c>
    </row>
    <row r="195">
      <c r="A195" s="2">
        <v>44844.0</v>
      </c>
      <c r="B195" s="1">
        <v>101.489998</v>
      </c>
      <c r="C195" s="1">
        <v>102.029999</v>
      </c>
      <c r="D195" s="1">
        <v>98.720001</v>
      </c>
      <c r="E195" s="1">
        <v>98.839996</v>
      </c>
      <c r="F195" s="1">
        <v>98.050667</v>
      </c>
      <c r="G195" s="1">
        <v>1.67861E7</v>
      </c>
    </row>
    <row r="196">
      <c r="A196" s="2">
        <v>44845.0</v>
      </c>
      <c r="B196" s="1">
        <v>97.220001</v>
      </c>
      <c r="C196" s="1">
        <v>99.760002</v>
      </c>
      <c r="D196" s="1">
        <v>96.75</v>
      </c>
      <c r="E196" s="1">
        <v>98.0</v>
      </c>
      <c r="F196" s="1">
        <v>97.217377</v>
      </c>
      <c r="G196" s="1">
        <v>1.78041E7</v>
      </c>
    </row>
    <row r="197">
      <c r="A197" s="2">
        <v>44846.0</v>
      </c>
      <c r="B197" s="1">
        <v>97.5</v>
      </c>
      <c r="C197" s="1">
        <v>98.910004</v>
      </c>
      <c r="D197" s="1">
        <v>97.230003</v>
      </c>
      <c r="E197" s="1">
        <v>98.43</v>
      </c>
      <c r="F197" s="1">
        <v>97.643944</v>
      </c>
      <c r="G197" s="1">
        <v>1.26358E7</v>
      </c>
    </row>
    <row r="198">
      <c r="A198" s="2">
        <v>44847.0</v>
      </c>
      <c r="B198" s="1">
        <v>97.550003</v>
      </c>
      <c r="C198" s="1">
        <v>102.449997</v>
      </c>
      <c r="D198" s="1">
        <v>97.400002</v>
      </c>
      <c r="E198" s="1">
        <v>101.870003</v>
      </c>
      <c r="F198" s="1">
        <v>101.056473</v>
      </c>
      <c r="G198" s="1">
        <v>2.20191E7</v>
      </c>
    </row>
    <row r="199">
      <c r="A199" s="2">
        <v>44848.0</v>
      </c>
      <c r="B199" s="1">
        <v>101.120003</v>
      </c>
      <c r="C199" s="1">
        <v>102.239998</v>
      </c>
      <c r="D199" s="1">
        <v>99.040001</v>
      </c>
      <c r="E199" s="1">
        <v>99.190002</v>
      </c>
      <c r="F199" s="1">
        <v>98.397873</v>
      </c>
      <c r="G199" s="1">
        <v>1.5222E7</v>
      </c>
    </row>
    <row r="200">
      <c r="A200" s="2">
        <v>44851.0</v>
      </c>
      <c r="B200" s="1">
        <v>101.07</v>
      </c>
      <c r="C200" s="1">
        <v>101.970001</v>
      </c>
      <c r="D200" s="1">
        <v>100.5</v>
      </c>
      <c r="E200" s="1">
        <v>100.620003</v>
      </c>
      <c r="F200" s="1">
        <v>99.81646</v>
      </c>
      <c r="G200" s="1">
        <v>1.42832E7</v>
      </c>
    </row>
    <row r="201">
      <c r="A201" s="2">
        <v>44852.0</v>
      </c>
      <c r="B201" s="1">
        <v>101.540001</v>
      </c>
      <c r="C201" s="1">
        <v>102.349998</v>
      </c>
      <c r="D201" s="1">
        <v>99.230003</v>
      </c>
      <c r="E201" s="1">
        <v>100.800003</v>
      </c>
      <c r="F201" s="1">
        <v>99.995018</v>
      </c>
      <c r="G201" s="1">
        <v>1.40654E7</v>
      </c>
    </row>
    <row r="202">
      <c r="A202" s="2">
        <v>44853.0</v>
      </c>
      <c r="B202" s="1">
        <v>101.25</v>
      </c>
      <c r="C202" s="1">
        <v>103.989998</v>
      </c>
      <c r="D202" s="1">
        <v>101.230003</v>
      </c>
      <c r="E202" s="1">
        <v>103.790001</v>
      </c>
      <c r="F202" s="1">
        <v>102.961136</v>
      </c>
      <c r="G202" s="1">
        <v>2.09217E7</v>
      </c>
    </row>
    <row r="203">
      <c r="A203" s="2">
        <v>44854.0</v>
      </c>
      <c r="B203" s="1">
        <v>104.32</v>
      </c>
      <c r="C203" s="1">
        <v>105.0</v>
      </c>
      <c r="D203" s="1">
        <v>103.410004</v>
      </c>
      <c r="E203" s="1">
        <v>103.93</v>
      </c>
      <c r="F203" s="1">
        <v>103.100021</v>
      </c>
      <c r="G203" s="1">
        <v>1.7649E7</v>
      </c>
    </row>
    <row r="204">
      <c r="A204" s="2">
        <v>44855.0</v>
      </c>
      <c r="B204" s="1">
        <v>104.449997</v>
      </c>
      <c r="C204" s="1">
        <v>106.400002</v>
      </c>
      <c r="D204" s="1">
        <v>103.910004</v>
      </c>
      <c r="E204" s="1">
        <v>105.860001</v>
      </c>
      <c r="F204" s="1">
        <v>105.01461</v>
      </c>
      <c r="G204" s="1">
        <v>2.28141E7</v>
      </c>
    </row>
    <row r="205">
      <c r="A205" s="2">
        <v>44858.0</v>
      </c>
      <c r="B205" s="1">
        <v>105.660004</v>
      </c>
      <c r="C205" s="1">
        <v>107.68</v>
      </c>
      <c r="D205" s="1">
        <v>105.120003</v>
      </c>
      <c r="E205" s="1">
        <v>106.599998</v>
      </c>
      <c r="F205" s="1">
        <v>105.748695</v>
      </c>
      <c r="G205" s="1">
        <v>1.70242E7</v>
      </c>
    </row>
    <row r="206">
      <c r="A206" s="2">
        <v>44859.0</v>
      </c>
      <c r="B206" s="1">
        <v>106.410004</v>
      </c>
      <c r="C206" s="1">
        <v>107.330002</v>
      </c>
      <c r="D206" s="1">
        <v>105.07</v>
      </c>
      <c r="E206" s="1">
        <v>105.879997</v>
      </c>
      <c r="F206" s="1">
        <v>105.034447</v>
      </c>
      <c r="G206" s="1">
        <v>1.57198E7</v>
      </c>
    </row>
    <row r="207">
      <c r="A207" s="2">
        <v>44860.0</v>
      </c>
      <c r="B207" s="1">
        <v>106.260002</v>
      </c>
      <c r="C207" s="1">
        <v>107.830002</v>
      </c>
      <c r="D207" s="1">
        <v>106.0</v>
      </c>
      <c r="E207" s="1">
        <v>107.139999</v>
      </c>
      <c r="F207" s="1">
        <v>106.284386</v>
      </c>
      <c r="G207" s="1">
        <v>1.73838E7</v>
      </c>
    </row>
    <row r="208">
      <c r="A208" s="2">
        <v>44861.0</v>
      </c>
      <c r="B208" s="1">
        <v>108.410004</v>
      </c>
      <c r="C208" s="1">
        <v>109.580002</v>
      </c>
      <c r="D208" s="1">
        <v>107.419998</v>
      </c>
      <c r="E208" s="1">
        <v>107.550003</v>
      </c>
      <c r="F208" s="1">
        <v>106.691116</v>
      </c>
      <c r="G208" s="1">
        <v>1.8214E7</v>
      </c>
    </row>
    <row r="209">
      <c r="A209" s="2">
        <v>44862.0</v>
      </c>
      <c r="B209" s="1">
        <v>109.459999</v>
      </c>
      <c r="C209" s="1">
        <v>111.209999</v>
      </c>
      <c r="D209" s="1">
        <v>108.120003</v>
      </c>
      <c r="E209" s="1">
        <v>110.699997</v>
      </c>
      <c r="F209" s="1">
        <v>109.815956</v>
      </c>
      <c r="G209" s="1">
        <v>2.81694E7</v>
      </c>
    </row>
    <row r="210">
      <c r="A210" s="2">
        <v>44865.0</v>
      </c>
      <c r="B210" s="1">
        <v>109.5</v>
      </c>
      <c r="C210" s="1">
        <v>112.910004</v>
      </c>
      <c r="D210" s="1">
        <v>109.440002</v>
      </c>
      <c r="E210" s="1">
        <v>110.809998</v>
      </c>
      <c r="F210" s="1">
        <v>109.925072</v>
      </c>
      <c r="G210" s="1">
        <v>2.64018E7</v>
      </c>
    </row>
    <row r="211">
      <c r="A211" s="2">
        <v>44866.0</v>
      </c>
      <c r="B211" s="1">
        <v>112.370003</v>
      </c>
      <c r="C211" s="1">
        <v>112.57</v>
      </c>
      <c r="D211" s="1">
        <v>110.650002</v>
      </c>
      <c r="E211" s="1">
        <v>111.910004</v>
      </c>
      <c r="F211" s="1">
        <v>111.016296</v>
      </c>
      <c r="G211" s="1">
        <v>2.22131E7</v>
      </c>
    </row>
    <row r="212">
      <c r="A212" s="2">
        <v>44867.0</v>
      </c>
      <c r="B212" s="1">
        <v>111.580002</v>
      </c>
      <c r="C212" s="1">
        <v>112.099998</v>
      </c>
      <c r="D212" s="1">
        <v>109.309998</v>
      </c>
      <c r="E212" s="1">
        <v>109.610001</v>
      </c>
      <c r="F212" s="1">
        <v>108.734657</v>
      </c>
      <c r="G212" s="1">
        <v>2.06542E7</v>
      </c>
    </row>
    <row r="213">
      <c r="A213" s="2">
        <v>44868.0</v>
      </c>
      <c r="B213" s="1">
        <v>108.580002</v>
      </c>
      <c r="C213" s="1">
        <v>111.82</v>
      </c>
      <c r="D213" s="1">
        <v>108.309998</v>
      </c>
      <c r="E213" s="1">
        <v>111.099998</v>
      </c>
      <c r="F213" s="1">
        <v>110.212761</v>
      </c>
      <c r="G213" s="1">
        <v>1.71037E7</v>
      </c>
    </row>
    <row r="214">
      <c r="A214" s="2">
        <v>44869.0</v>
      </c>
      <c r="B214" s="1">
        <v>113.0</v>
      </c>
      <c r="C214" s="1">
        <v>113.5</v>
      </c>
      <c r="D214" s="1">
        <v>110.800003</v>
      </c>
      <c r="E214" s="1">
        <v>112.309998</v>
      </c>
      <c r="F214" s="1">
        <v>111.413094</v>
      </c>
      <c r="G214" s="1">
        <v>1.75415E7</v>
      </c>
    </row>
    <row r="215">
      <c r="A215" s="2">
        <v>44872.0</v>
      </c>
      <c r="B215" s="1">
        <v>112.410004</v>
      </c>
      <c r="C215" s="1">
        <v>113.989998</v>
      </c>
      <c r="D215" s="1">
        <v>112.129997</v>
      </c>
      <c r="E215" s="1">
        <v>113.639999</v>
      </c>
      <c r="F215" s="1">
        <v>112.732475</v>
      </c>
      <c r="G215" s="1">
        <v>1.6008E7</v>
      </c>
    </row>
    <row r="216">
      <c r="A216" s="2">
        <v>44873.0</v>
      </c>
      <c r="B216" s="1">
        <v>113.480003</v>
      </c>
      <c r="C216" s="1">
        <v>114.660004</v>
      </c>
      <c r="D216" s="1">
        <v>112.599998</v>
      </c>
      <c r="E216" s="1">
        <v>114.0</v>
      </c>
      <c r="F216" s="1">
        <v>113.0896</v>
      </c>
      <c r="G216" s="1">
        <v>1.4661E7</v>
      </c>
    </row>
    <row r="217">
      <c r="A217" s="2">
        <v>44874.0</v>
      </c>
      <c r="B217" s="1">
        <v>113.099998</v>
      </c>
      <c r="C217" s="1">
        <v>113.279999</v>
      </c>
      <c r="D217" s="1">
        <v>108.57</v>
      </c>
      <c r="E217" s="1">
        <v>108.900002</v>
      </c>
      <c r="F217" s="1">
        <v>108.030334</v>
      </c>
      <c r="G217" s="1">
        <v>1.95228E7</v>
      </c>
    </row>
    <row r="218">
      <c r="A218" s="2">
        <v>44875.0</v>
      </c>
      <c r="B218" s="1">
        <v>110.190002</v>
      </c>
      <c r="C218" s="1">
        <v>110.699997</v>
      </c>
      <c r="D218" s="1">
        <v>107.57</v>
      </c>
      <c r="E218" s="1">
        <v>110.5</v>
      </c>
      <c r="F218" s="1">
        <v>109.617554</v>
      </c>
      <c r="G218" s="1">
        <v>2.01467E7</v>
      </c>
    </row>
    <row r="219">
      <c r="A219" s="2">
        <v>44876.0</v>
      </c>
      <c r="B219" s="1">
        <v>112.580002</v>
      </c>
      <c r="C219" s="1">
        <v>114.5</v>
      </c>
      <c r="D219" s="1">
        <v>112.489998</v>
      </c>
      <c r="E219" s="1">
        <v>113.949997</v>
      </c>
      <c r="F219" s="1">
        <v>113.040001</v>
      </c>
      <c r="G219" s="1">
        <v>2.05189E7</v>
      </c>
    </row>
    <row r="220">
      <c r="A220" s="2">
        <v>44879.0</v>
      </c>
      <c r="B220" s="1">
        <v>112.629997</v>
      </c>
      <c r="C220" s="1">
        <v>114.639999</v>
      </c>
      <c r="D220" s="1">
        <v>112.489998</v>
      </c>
      <c r="E220" s="1">
        <v>113.370003</v>
      </c>
      <c r="F220" s="1">
        <v>113.370003</v>
      </c>
      <c r="G220" s="1">
        <v>2.08583E7</v>
      </c>
    </row>
    <row r="221">
      <c r="A221" s="2">
        <v>44880.0</v>
      </c>
      <c r="B221" s="1">
        <v>113.800003</v>
      </c>
      <c r="C221" s="1">
        <v>114.529999</v>
      </c>
      <c r="D221" s="1">
        <v>112.870003</v>
      </c>
      <c r="E221" s="1">
        <v>114.129997</v>
      </c>
      <c r="F221" s="1">
        <v>114.129997</v>
      </c>
      <c r="G221" s="1">
        <v>1.93738E7</v>
      </c>
    </row>
    <row r="222">
      <c r="A222" s="2">
        <v>44881.0</v>
      </c>
      <c r="B222" s="1">
        <v>113.440002</v>
      </c>
      <c r="C222" s="1">
        <v>114.260002</v>
      </c>
      <c r="D222" s="1">
        <v>111.860001</v>
      </c>
      <c r="E222" s="1">
        <v>112.910004</v>
      </c>
      <c r="F222" s="1">
        <v>112.910004</v>
      </c>
      <c r="G222" s="1">
        <v>1.3591E7</v>
      </c>
    </row>
    <row r="223">
      <c r="A223" s="2">
        <v>44882.0</v>
      </c>
      <c r="B223" s="1">
        <v>111.290001</v>
      </c>
      <c r="C223" s="1">
        <v>113.199997</v>
      </c>
      <c r="D223" s="1">
        <v>110.75</v>
      </c>
      <c r="E223" s="1">
        <v>113.059998</v>
      </c>
      <c r="F223" s="1">
        <v>113.059998</v>
      </c>
      <c r="G223" s="1">
        <v>1.24259E7</v>
      </c>
    </row>
    <row r="224">
      <c r="A224" s="2">
        <v>44883.0</v>
      </c>
      <c r="B224" s="1">
        <v>110.900002</v>
      </c>
      <c r="C224" s="1">
        <v>112.480003</v>
      </c>
      <c r="D224" s="1">
        <v>109.610001</v>
      </c>
      <c r="E224" s="1">
        <v>112.080002</v>
      </c>
      <c r="F224" s="1">
        <v>112.080002</v>
      </c>
      <c r="G224" s="1">
        <v>1.5415E7</v>
      </c>
    </row>
    <row r="225">
      <c r="A225" s="2">
        <v>44886.0</v>
      </c>
      <c r="B225" s="1">
        <v>109.989998</v>
      </c>
      <c r="C225" s="1">
        <v>111.199997</v>
      </c>
      <c r="D225" s="1">
        <v>107.480003</v>
      </c>
      <c r="E225" s="1">
        <v>110.970001</v>
      </c>
      <c r="F225" s="1">
        <v>110.970001</v>
      </c>
      <c r="G225" s="1">
        <v>2.0973E7</v>
      </c>
    </row>
    <row r="226">
      <c r="A226" s="2">
        <v>44887.0</v>
      </c>
      <c r="B226" s="1">
        <v>112.209999</v>
      </c>
      <c r="C226" s="1">
        <v>114.470001</v>
      </c>
      <c r="D226" s="1">
        <v>111.43</v>
      </c>
      <c r="E226" s="1">
        <v>114.18</v>
      </c>
      <c r="F226" s="1">
        <v>114.18</v>
      </c>
      <c r="G226" s="1">
        <v>1.77191E7</v>
      </c>
    </row>
    <row r="227">
      <c r="A227" s="2">
        <v>44888.0</v>
      </c>
      <c r="B227" s="1">
        <v>112.32</v>
      </c>
      <c r="C227" s="1">
        <v>113.949997</v>
      </c>
      <c r="D227" s="1">
        <v>112.099998</v>
      </c>
      <c r="E227" s="1">
        <v>113.610001</v>
      </c>
      <c r="F227" s="1">
        <v>113.610001</v>
      </c>
      <c r="G227" s="1">
        <v>1.15467E7</v>
      </c>
    </row>
    <row r="228">
      <c r="A228" s="2">
        <v>44890.0</v>
      </c>
      <c r="B228" s="1">
        <v>113.879997</v>
      </c>
      <c r="C228" s="1">
        <v>114.610001</v>
      </c>
      <c r="D228" s="1">
        <v>113.059998</v>
      </c>
      <c r="E228" s="1">
        <v>113.209999</v>
      </c>
      <c r="F228" s="1">
        <v>113.209999</v>
      </c>
      <c r="G228" s="1">
        <v>7136000.0</v>
      </c>
    </row>
    <row r="229">
      <c r="A229" s="2">
        <v>44893.0</v>
      </c>
      <c r="B229" s="1">
        <v>110.660004</v>
      </c>
      <c r="C229" s="1">
        <v>111.459999</v>
      </c>
      <c r="D229" s="1">
        <v>109.620003</v>
      </c>
      <c r="E229" s="1">
        <v>109.809998</v>
      </c>
      <c r="F229" s="1">
        <v>109.809998</v>
      </c>
      <c r="G229" s="1">
        <v>2.30155E7</v>
      </c>
    </row>
    <row r="230">
      <c r="A230" s="2">
        <v>44894.0</v>
      </c>
      <c r="B230" s="1">
        <v>110.610001</v>
      </c>
      <c r="C230" s="1">
        <v>111.800003</v>
      </c>
      <c r="D230" s="1">
        <v>109.790001</v>
      </c>
      <c r="E230" s="1">
        <v>110.540001</v>
      </c>
      <c r="F230" s="1">
        <v>110.540001</v>
      </c>
      <c r="G230" s="1">
        <v>1.44532E7</v>
      </c>
    </row>
    <row r="231">
      <c r="A231" s="2">
        <v>44895.0</v>
      </c>
      <c r="B231" s="1">
        <v>111.540001</v>
      </c>
      <c r="C231" s="1">
        <v>111.900002</v>
      </c>
      <c r="D231" s="1">
        <v>109.779999</v>
      </c>
      <c r="E231" s="1">
        <v>111.339996</v>
      </c>
      <c r="F231" s="1">
        <v>111.339996</v>
      </c>
      <c r="G231" s="1">
        <v>2.31581E7</v>
      </c>
    </row>
    <row r="232">
      <c r="A232" s="2">
        <v>44896.0</v>
      </c>
      <c r="B232" s="1">
        <v>111.639999</v>
      </c>
      <c r="C232" s="1">
        <v>112.07</v>
      </c>
      <c r="D232" s="1">
        <v>110.18</v>
      </c>
      <c r="E232" s="1">
        <v>110.800003</v>
      </c>
      <c r="F232" s="1">
        <v>110.800003</v>
      </c>
      <c r="G232" s="1">
        <v>1.43983E7</v>
      </c>
    </row>
    <row r="233">
      <c r="A233" s="2">
        <v>44897.0</v>
      </c>
      <c r="B233" s="1">
        <v>109.510002</v>
      </c>
      <c r="C233" s="1">
        <v>111.709999</v>
      </c>
      <c r="D233" s="1">
        <v>109.199997</v>
      </c>
      <c r="E233" s="1">
        <v>109.860001</v>
      </c>
      <c r="F233" s="1">
        <v>109.860001</v>
      </c>
      <c r="G233" s="1">
        <v>1.52484E7</v>
      </c>
    </row>
    <row r="234">
      <c r="A234" s="2">
        <v>44900.0</v>
      </c>
      <c r="B234" s="1">
        <v>110.699997</v>
      </c>
      <c r="C234" s="1">
        <v>111.360001</v>
      </c>
      <c r="D234" s="1">
        <v>105.940002</v>
      </c>
      <c r="E234" s="1">
        <v>106.849998</v>
      </c>
      <c r="F234" s="1">
        <v>106.849998</v>
      </c>
      <c r="G234" s="1">
        <v>1.92877E7</v>
      </c>
    </row>
    <row r="235">
      <c r="A235" s="2">
        <v>44901.0</v>
      </c>
      <c r="B235" s="1">
        <v>105.900002</v>
      </c>
      <c r="C235" s="1">
        <v>107.040001</v>
      </c>
      <c r="D235" s="1">
        <v>103.150002</v>
      </c>
      <c r="E235" s="1">
        <v>103.879997</v>
      </c>
      <c r="F235" s="1">
        <v>103.879997</v>
      </c>
      <c r="G235" s="1">
        <v>2.1197E7</v>
      </c>
    </row>
    <row r="236">
      <c r="A236" s="2">
        <v>44902.0</v>
      </c>
      <c r="B236" s="1">
        <v>103.779999</v>
      </c>
      <c r="C236" s="1">
        <v>104.849998</v>
      </c>
      <c r="D236" s="1">
        <v>102.370003</v>
      </c>
      <c r="E236" s="1">
        <v>103.650002</v>
      </c>
      <c r="F236" s="1">
        <v>103.650002</v>
      </c>
      <c r="G236" s="1">
        <v>2.00617E7</v>
      </c>
    </row>
    <row r="237">
      <c r="A237" s="2">
        <v>44903.0</v>
      </c>
      <c r="B237" s="1">
        <v>106.279999</v>
      </c>
      <c r="C237" s="1">
        <v>106.800003</v>
      </c>
      <c r="D237" s="1">
        <v>103.709999</v>
      </c>
      <c r="E237" s="1">
        <v>104.419998</v>
      </c>
      <c r="F237" s="1">
        <v>104.419998</v>
      </c>
      <c r="G237" s="1">
        <v>2.11288E7</v>
      </c>
    </row>
    <row r="238">
      <c r="A238" s="2">
        <v>44904.0</v>
      </c>
      <c r="B238" s="1">
        <v>104.589996</v>
      </c>
      <c r="C238" s="1">
        <v>105.949997</v>
      </c>
      <c r="D238" s="1">
        <v>103.300003</v>
      </c>
      <c r="E238" s="1">
        <v>103.540001</v>
      </c>
      <c r="F238" s="1">
        <v>103.540001</v>
      </c>
      <c r="G238" s="1">
        <v>2.12982E7</v>
      </c>
    </row>
    <row r="239">
      <c r="A239" s="2">
        <v>44907.0</v>
      </c>
      <c r="B239" s="1">
        <v>103.830002</v>
      </c>
      <c r="C239" s="1">
        <v>106.239998</v>
      </c>
      <c r="D239" s="1">
        <v>103.589996</v>
      </c>
      <c r="E239" s="1">
        <v>106.089996</v>
      </c>
      <c r="F239" s="1">
        <v>106.089996</v>
      </c>
      <c r="G239" s="1">
        <v>2.04132E7</v>
      </c>
    </row>
    <row r="240">
      <c r="A240" s="2">
        <v>44908.0</v>
      </c>
      <c r="B240" s="1">
        <v>107.800003</v>
      </c>
      <c r="C240" s="1">
        <v>108.540001</v>
      </c>
      <c r="D240" s="1">
        <v>107.019997</v>
      </c>
      <c r="E240" s="1">
        <v>107.25</v>
      </c>
      <c r="F240" s="1">
        <v>107.25</v>
      </c>
      <c r="G240" s="1">
        <v>2.43053E7</v>
      </c>
    </row>
    <row r="241">
      <c r="A241" s="2">
        <v>44909.0</v>
      </c>
      <c r="B241" s="1">
        <v>107.989998</v>
      </c>
      <c r="C241" s="1">
        <v>108.300003</v>
      </c>
      <c r="D241" s="1">
        <v>105.75</v>
      </c>
      <c r="E241" s="1">
        <v>106.459999</v>
      </c>
      <c r="F241" s="1">
        <v>106.459999</v>
      </c>
      <c r="G241" s="1">
        <v>1.75973E7</v>
      </c>
    </row>
    <row r="242">
      <c r="A242" s="2">
        <v>44910.0</v>
      </c>
      <c r="B242" s="1">
        <v>105.330002</v>
      </c>
      <c r="C242" s="1">
        <v>106.169998</v>
      </c>
      <c r="D242" s="1">
        <v>103.699997</v>
      </c>
      <c r="E242" s="1">
        <v>105.440002</v>
      </c>
      <c r="F242" s="1">
        <v>105.440002</v>
      </c>
      <c r="G242" s="1">
        <v>1.53651E7</v>
      </c>
    </row>
    <row r="243">
      <c r="A243" s="2">
        <v>44911.0</v>
      </c>
      <c r="B243" s="1">
        <v>103.690002</v>
      </c>
      <c r="C243" s="1">
        <v>105.580002</v>
      </c>
      <c r="D243" s="1">
        <v>103.129997</v>
      </c>
      <c r="E243" s="1">
        <v>104.699997</v>
      </c>
      <c r="F243" s="1">
        <v>104.699997</v>
      </c>
      <c r="G243" s="1">
        <v>5.45966E7</v>
      </c>
    </row>
    <row r="244">
      <c r="A244" s="2">
        <v>44914.0</v>
      </c>
      <c r="B244" s="1">
        <v>105.260002</v>
      </c>
      <c r="C244" s="1">
        <v>106.199997</v>
      </c>
      <c r="D244" s="1">
        <v>104.379997</v>
      </c>
      <c r="E244" s="1">
        <v>105.169998</v>
      </c>
      <c r="F244" s="1">
        <v>105.169998</v>
      </c>
      <c r="G244" s="1">
        <v>1.36111E7</v>
      </c>
    </row>
    <row r="245">
      <c r="A245" s="2">
        <v>44915.0</v>
      </c>
      <c r="B245" s="1">
        <v>105.169998</v>
      </c>
      <c r="C245" s="1">
        <v>107.510002</v>
      </c>
      <c r="D245" s="1">
        <v>105.07</v>
      </c>
      <c r="E245" s="1">
        <v>106.690002</v>
      </c>
      <c r="F245" s="1">
        <v>106.690002</v>
      </c>
      <c r="G245" s="1">
        <v>1.468E7</v>
      </c>
    </row>
    <row r="246">
      <c r="A246" s="2">
        <v>44916.0</v>
      </c>
      <c r="B246" s="1">
        <v>108.290001</v>
      </c>
      <c r="C246" s="1">
        <v>108.589996</v>
      </c>
      <c r="D246" s="1">
        <v>107.160004</v>
      </c>
      <c r="E246" s="1">
        <v>108.059998</v>
      </c>
      <c r="F246" s="1">
        <v>108.059998</v>
      </c>
      <c r="G246" s="1">
        <v>1.35654E7</v>
      </c>
    </row>
    <row r="247">
      <c r="A247" s="2">
        <v>44917.0</v>
      </c>
      <c r="B247" s="1">
        <v>107.889999</v>
      </c>
      <c r="C247" s="1">
        <v>108.190002</v>
      </c>
      <c r="D247" s="1">
        <v>104.099998</v>
      </c>
      <c r="E247" s="1">
        <v>105.879997</v>
      </c>
      <c r="F247" s="1">
        <v>105.879997</v>
      </c>
      <c r="G247" s="1">
        <v>1.3213E7</v>
      </c>
    </row>
    <row r="248">
      <c r="A248" s="2">
        <v>44918.0</v>
      </c>
      <c r="B248" s="1">
        <v>106.949997</v>
      </c>
      <c r="C248" s="1">
        <v>108.739998</v>
      </c>
      <c r="D248" s="1">
        <v>106.900002</v>
      </c>
      <c r="E248" s="1">
        <v>108.68</v>
      </c>
      <c r="F248" s="1">
        <v>108.68</v>
      </c>
      <c r="G248" s="1">
        <v>1.15394E7</v>
      </c>
    </row>
    <row r="249">
      <c r="A249" s="2">
        <v>44922.0</v>
      </c>
      <c r="B249" s="1">
        <v>109.269997</v>
      </c>
      <c r="C249" s="1">
        <v>110.470001</v>
      </c>
      <c r="D249" s="1">
        <v>108.830002</v>
      </c>
      <c r="E249" s="1">
        <v>110.190002</v>
      </c>
      <c r="F249" s="1">
        <v>110.190002</v>
      </c>
      <c r="G249" s="1">
        <v>1.19621E7</v>
      </c>
    </row>
    <row r="250">
      <c r="A250" s="2">
        <v>44923.0</v>
      </c>
      <c r="B250" s="1">
        <v>109.910004</v>
      </c>
      <c r="C250" s="1">
        <v>110.0</v>
      </c>
      <c r="D250" s="1">
        <v>107.900002</v>
      </c>
      <c r="E250" s="1">
        <v>108.379997</v>
      </c>
      <c r="F250" s="1">
        <v>108.379997</v>
      </c>
      <c r="G250" s="1">
        <v>1.07021E7</v>
      </c>
    </row>
    <row r="251">
      <c r="A251" s="2">
        <v>44924.0</v>
      </c>
      <c r="B251" s="1">
        <v>107.989998</v>
      </c>
      <c r="C251" s="1">
        <v>109.720001</v>
      </c>
      <c r="D251" s="1">
        <v>107.989998</v>
      </c>
      <c r="E251" s="1">
        <v>109.199997</v>
      </c>
      <c r="F251" s="1">
        <v>109.199997</v>
      </c>
      <c r="G251" s="1">
        <v>1.0534E7</v>
      </c>
    </row>
    <row r="252">
      <c r="A252" s="2">
        <v>44925.0</v>
      </c>
      <c r="B252" s="1">
        <v>108.610001</v>
      </c>
      <c r="C252" s="1">
        <v>110.5</v>
      </c>
      <c r="D252" s="1">
        <v>108.610001</v>
      </c>
      <c r="E252" s="1">
        <v>110.300003</v>
      </c>
      <c r="F252" s="1">
        <v>110.300003</v>
      </c>
      <c r="G252" s="1">
        <v>1.17933E7</v>
      </c>
    </row>
    <row r="1001">
      <c r="C1001" s="3"/>
    </row>
    <row r="1002">
      <c r="C1002" s="3"/>
    </row>
    <row r="1003">
      <c r="C1003" s="3"/>
    </row>
    <row r="1004">
      <c r="C1004" s="3"/>
    </row>
    <row r="1005">
      <c r="C1005" s="3"/>
    </row>
    <row r="1006">
      <c r="C1006" s="3"/>
    </row>
    <row r="1007">
      <c r="C1007" s="3"/>
    </row>
    <row r="1008">
      <c r="C1008" s="3"/>
    </row>
    <row r="1009">
      <c r="C1009" s="3"/>
    </row>
    <row r="1010">
      <c r="C1010" s="3"/>
    </row>
    <row r="1011">
      <c r="C1011" s="3"/>
    </row>
    <row r="1012">
      <c r="C1012" s="3"/>
    </row>
    <row r="1013">
      <c r="C1013" s="3"/>
    </row>
    <row r="1014">
      <c r="C1014" s="3"/>
    </row>
    <row r="1015">
      <c r="C1015" s="3"/>
    </row>
    <row r="1016">
      <c r="C1016" s="3"/>
    </row>
    <row r="1017">
      <c r="C1017" s="3"/>
    </row>
    <row r="1018">
      <c r="C1018" s="3"/>
    </row>
    <row r="1019">
      <c r="C1019" s="3"/>
    </row>
    <row r="1020">
      <c r="C1020" s="3"/>
    </row>
    <row r="1021">
      <c r="C1021" s="3"/>
    </row>
    <row r="1022">
      <c r="C1022" s="3"/>
    </row>
    <row r="1023">
      <c r="C1023" s="3"/>
    </row>
    <row r="1024">
      <c r="C1024" s="3"/>
    </row>
    <row r="1025">
      <c r="C1025" s="3"/>
    </row>
    <row r="1026">
      <c r="C1026" s="3"/>
    </row>
    <row r="1027">
      <c r="C1027" s="3"/>
    </row>
    <row r="1028">
      <c r="C1028" s="3"/>
    </row>
    <row r="1029">
      <c r="C1029" s="3"/>
    </row>
    <row r="1030">
      <c r="C1030" s="3"/>
    </row>
    <row r="1031">
      <c r="C1031" s="3"/>
    </row>
    <row r="1032">
      <c r="C1032" s="3"/>
    </row>
    <row r="1033">
      <c r="C1033" s="3"/>
    </row>
    <row r="1034">
      <c r="C1034" s="3"/>
    </row>
    <row r="1035">
      <c r="C1035" s="3"/>
    </row>
    <row r="1036">
      <c r="C1036" s="3"/>
    </row>
    <row r="1037">
      <c r="C1037" s="3"/>
    </row>
    <row r="1038">
      <c r="C1038" s="3"/>
    </row>
    <row r="1039">
      <c r="C1039" s="3"/>
    </row>
    <row r="1040">
      <c r="C1040" s="3"/>
    </row>
    <row r="1041">
      <c r="C1041" s="3"/>
    </row>
    <row r="1042">
      <c r="C1042" s="3"/>
    </row>
    <row r="1043">
      <c r="C1043" s="3"/>
    </row>
    <row r="1044">
      <c r="C1044" s="3"/>
    </row>
    <row r="1045">
      <c r="C1045" s="3"/>
    </row>
    <row r="1046">
      <c r="C1046" s="3"/>
    </row>
    <row r="1047">
      <c r="C1047" s="3"/>
    </row>
    <row r="1048">
      <c r="C1048" s="3"/>
    </row>
    <row r="1049">
      <c r="C1049" s="3"/>
    </row>
    <row r="1050">
      <c r="C1050" s="3"/>
    </row>
    <row r="1051">
      <c r="C1051" s="3"/>
    </row>
    <row r="1052">
      <c r="C1052" s="3"/>
    </row>
    <row r="1053">
      <c r="C1053" s="3"/>
    </row>
    <row r="1054">
      <c r="C1054" s="3"/>
    </row>
    <row r="1055">
      <c r="C1055" s="3"/>
    </row>
    <row r="1056">
      <c r="C1056" s="3"/>
    </row>
    <row r="1057">
      <c r="C1057" s="3"/>
    </row>
    <row r="1058">
      <c r="C1058" s="3"/>
    </row>
    <row r="1059">
      <c r="C1059" s="3"/>
    </row>
    <row r="1060">
      <c r="C1060" s="3"/>
    </row>
    <row r="1061">
      <c r="C1061" s="3"/>
    </row>
    <row r="1062">
      <c r="C1062" s="3"/>
    </row>
    <row r="1063">
      <c r="C1063" s="3"/>
    </row>
    <row r="1064">
      <c r="C1064" s="3"/>
    </row>
    <row r="1065">
      <c r="C1065" s="3"/>
    </row>
    <row r="1066">
      <c r="C1066" s="3"/>
    </row>
    <row r="1067">
      <c r="C1067" s="3"/>
    </row>
    <row r="1068">
      <c r="C1068" s="3"/>
    </row>
    <row r="1069">
      <c r="C1069" s="3"/>
    </row>
    <row r="1070">
      <c r="C1070" s="3"/>
    </row>
    <row r="1071">
      <c r="C1071" s="3"/>
    </row>
    <row r="1072">
      <c r="C1072" s="3"/>
    </row>
    <row r="1073">
      <c r="C1073" s="3"/>
    </row>
    <row r="1074">
      <c r="C1074" s="3"/>
    </row>
    <row r="1075">
      <c r="C1075" s="3"/>
    </row>
    <row r="1076">
      <c r="C1076" s="3"/>
    </row>
    <row r="1077">
      <c r="C1077" s="3"/>
    </row>
    <row r="1078">
      <c r="C1078" s="3"/>
    </row>
    <row r="1079">
      <c r="C1079" s="3"/>
    </row>
    <row r="1080">
      <c r="C1080" s="3"/>
    </row>
    <row r="1081">
      <c r="C1081" s="3"/>
    </row>
    <row r="1082">
      <c r="C1082" s="3"/>
    </row>
    <row r="1083">
      <c r="C1083" s="3"/>
    </row>
    <row r="1084">
      <c r="C1084" s="3"/>
    </row>
    <row r="1085">
      <c r="C1085" s="3"/>
    </row>
    <row r="1086">
      <c r="C1086" s="3"/>
    </row>
    <row r="1087">
      <c r="C1087" s="3"/>
    </row>
    <row r="1088">
      <c r="C1088" s="3"/>
    </row>
    <row r="1089">
      <c r="C1089" s="3"/>
    </row>
    <row r="1090">
      <c r="C1090" s="3"/>
    </row>
    <row r="1091">
      <c r="C1091" s="3"/>
    </row>
    <row r="1092">
      <c r="C1092" s="3"/>
    </row>
    <row r="1093">
      <c r="C1093" s="3"/>
    </row>
    <row r="1094">
      <c r="C1094" s="3"/>
    </row>
    <row r="1095">
      <c r="C1095" s="3"/>
    </row>
    <row r="1096">
      <c r="C1096" s="3"/>
    </row>
    <row r="1097">
      <c r="C1097" s="3"/>
    </row>
    <row r="1098">
      <c r="C1098" s="3"/>
    </row>
    <row r="1099">
      <c r="C1099" s="3"/>
    </row>
    <row r="1100">
      <c r="C1100" s="3"/>
    </row>
    <row r="1101">
      <c r="C1101" s="3"/>
    </row>
    <row r="1102">
      <c r="C1102" s="3"/>
    </row>
    <row r="1103">
      <c r="C1103" s="3"/>
    </row>
    <row r="1104">
      <c r="C1104" s="3"/>
    </row>
    <row r="1105">
      <c r="C1105" s="3"/>
    </row>
    <row r="1106">
      <c r="C1106" s="3"/>
    </row>
    <row r="1107">
      <c r="C1107" s="3"/>
    </row>
    <row r="1108">
      <c r="C1108" s="3"/>
    </row>
    <row r="1109">
      <c r="C1109" s="3"/>
    </row>
    <row r="1110">
      <c r="C1110" s="3"/>
    </row>
    <row r="1111">
      <c r="C1111" s="3"/>
    </row>
    <row r="1112">
      <c r="C1112" s="3"/>
    </row>
    <row r="1113">
      <c r="C1113" s="3"/>
    </row>
    <row r="1114">
      <c r="C1114" s="3"/>
    </row>
    <row r="1115">
      <c r="C1115" s="3"/>
    </row>
    <row r="1116">
      <c r="C1116" s="3"/>
    </row>
    <row r="1117">
      <c r="C1117" s="3"/>
    </row>
    <row r="1118">
      <c r="C1118" s="3"/>
    </row>
    <row r="1119">
      <c r="C1119" s="3"/>
    </row>
    <row r="1120">
      <c r="C1120" s="3"/>
    </row>
    <row r="1121">
      <c r="C1121" s="3"/>
    </row>
    <row r="1122">
      <c r="C1122" s="3"/>
    </row>
    <row r="1123">
      <c r="C1123" s="3"/>
    </row>
    <row r="1124">
      <c r="C1124" s="3"/>
    </row>
    <row r="1125">
      <c r="C1125" s="3"/>
    </row>
    <row r="1126">
      <c r="C1126" s="3"/>
    </row>
    <row r="1127">
      <c r="C1127" s="3"/>
    </row>
    <row r="1128">
      <c r="C1128" s="3"/>
    </row>
    <row r="1129">
      <c r="C1129" s="3"/>
    </row>
    <row r="1130">
      <c r="C1130" s="3"/>
    </row>
    <row r="1131">
      <c r="C1131" s="3"/>
    </row>
    <row r="1132">
      <c r="C1132" s="3"/>
    </row>
    <row r="1133">
      <c r="C1133" s="3"/>
    </row>
    <row r="1134">
      <c r="C1134" s="3"/>
    </row>
    <row r="1135">
      <c r="C1135" s="3"/>
    </row>
    <row r="1136">
      <c r="C1136" s="3"/>
    </row>
    <row r="1137">
      <c r="C1137" s="3"/>
    </row>
    <row r="1138">
      <c r="C1138" s="3"/>
    </row>
    <row r="1139">
      <c r="C1139" s="3"/>
    </row>
    <row r="1140">
      <c r="C1140" s="3"/>
    </row>
    <row r="1141">
      <c r="C1141" s="3"/>
    </row>
    <row r="1142">
      <c r="C1142" s="3"/>
    </row>
    <row r="1143">
      <c r="C1143" s="3"/>
    </row>
    <row r="1144">
      <c r="C1144" s="3"/>
    </row>
    <row r="1145">
      <c r="C1145" s="3"/>
    </row>
    <row r="1146">
      <c r="C1146" s="3"/>
    </row>
    <row r="1147">
      <c r="C1147" s="3"/>
    </row>
    <row r="1148">
      <c r="C1148" s="3"/>
    </row>
    <row r="1149">
      <c r="C1149" s="3"/>
    </row>
    <row r="1150">
      <c r="C1150" s="3"/>
    </row>
    <row r="1151">
      <c r="C1151" s="3"/>
    </row>
    <row r="1152">
      <c r="C1152" s="3"/>
    </row>
    <row r="1153">
      <c r="C1153" s="3"/>
    </row>
    <row r="1154">
      <c r="C1154" s="3"/>
    </row>
    <row r="1155">
      <c r="C1155" s="3"/>
    </row>
    <row r="1156">
      <c r="C1156" s="3"/>
    </row>
    <row r="1157">
      <c r="C1157" s="3"/>
    </row>
    <row r="1158">
      <c r="C1158" s="3"/>
    </row>
    <row r="1159">
      <c r="C1159" s="3"/>
    </row>
    <row r="1160">
      <c r="C1160" s="3"/>
    </row>
    <row r="1161">
      <c r="C1161" s="3"/>
    </row>
    <row r="1162">
      <c r="C1162" s="3"/>
    </row>
    <row r="1163">
      <c r="C1163" s="3"/>
    </row>
    <row r="1164">
      <c r="C1164" s="3"/>
    </row>
    <row r="1165">
      <c r="C1165" s="3"/>
    </row>
    <row r="1166">
      <c r="C1166" s="3"/>
    </row>
    <row r="1167">
      <c r="C1167" s="3"/>
    </row>
    <row r="1168">
      <c r="C1168" s="3"/>
    </row>
    <row r="1169">
      <c r="C1169" s="3"/>
    </row>
    <row r="1170">
      <c r="C1170" s="3"/>
    </row>
    <row r="1171">
      <c r="C1171" s="3"/>
    </row>
    <row r="1172">
      <c r="C1172" s="3"/>
    </row>
    <row r="1173">
      <c r="C1173" s="3"/>
    </row>
    <row r="1174">
      <c r="C1174" s="3"/>
    </row>
    <row r="1175">
      <c r="C1175" s="3"/>
    </row>
    <row r="1176">
      <c r="C1176" s="3"/>
    </row>
    <row r="1177">
      <c r="C1177" s="3"/>
    </row>
    <row r="1178">
      <c r="C1178" s="3"/>
    </row>
    <row r="1179">
      <c r="C1179" s="3"/>
    </row>
    <row r="1180">
      <c r="C1180" s="3"/>
    </row>
    <row r="1181">
      <c r="C1181" s="3"/>
    </row>
    <row r="1182">
      <c r="C1182" s="3"/>
    </row>
    <row r="1183">
      <c r="C1183" s="3"/>
    </row>
    <row r="1184">
      <c r="C1184" s="3"/>
    </row>
    <row r="1185">
      <c r="C1185" s="3"/>
    </row>
    <row r="1186">
      <c r="C1186" s="3"/>
    </row>
    <row r="1187">
      <c r="C1187" s="3"/>
    </row>
    <row r="1188">
      <c r="C1188" s="3"/>
    </row>
    <row r="1189">
      <c r="C1189" s="3"/>
    </row>
    <row r="1190">
      <c r="C1190" s="3"/>
    </row>
    <row r="1191">
      <c r="C1191" s="3"/>
    </row>
    <row r="1192">
      <c r="C1192" s="3"/>
    </row>
    <row r="1193">
      <c r="C1193" s="3"/>
    </row>
    <row r="1194">
      <c r="C1194" s="3"/>
    </row>
    <row r="1195">
      <c r="C1195" s="3"/>
    </row>
    <row r="1196">
      <c r="C1196" s="3"/>
    </row>
    <row r="1197">
      <c r="C1197" s="3"/>
    </row>
    <row r="1198">
      <c r="C1198" s="3"/>
    </row>
    <row r="1199">
      <c r="C1199" s="3"/>
    </row>
    <row r="1200">
      <c r="C1200" s="3"/>
    </row>
    <row r="1201">
      <c r="C1201" s="3"/>
    </row>
    <row r="1202">
      <c r="C1202" s="3"/>
    </row>
    <row r="1203">
      <c r="C1203" s="3"/>
    </row>
    <row r="1204">
      <c r="C1204" s="3"/>
    </row>
    <row r="1205">
      <c r="C1205" s="3"/>
    </row>
    <row r="1206">
      <c r="C1206" s="3"/>
    </row>
    <row r="1207">
      <c r="C1207" s="3"/>
    </row>
    <row r="1208">
      <c r="C1208" s="3"/>
    </row>
    <row r="1209">
      <c r="C1209" s="3"/>
    </row>
    <row r="1210">
      <c r="C1210" s="3"/>
    </row>
    <row r="1211">
      <c r="C1211" s="3"/>
    </row>
    <row r="1212">
      <c r="C1212" s="3"/>
    </row>
    <row r="1213">
      <c r="C1213" s="3"/>
    </row>
    <row r="1214">
      <c r="C1214" s="3"/>
    </row>
    <row r="1215">
      <c r="C1215" s="3"/>
    </row>
    <row r="1216">
      <c r="C1216" s="3"/>
    </row>
    <row r="1217">
      <c r="C1217" s="3"/>
    </row>
    <row r="1218">
      <c r="C1218" s="3"/>
    </row>
    <row r="1219">
      <c r="C1219" s="3"/>
    </row>
    <row r="1220">
      <c r="C1220" s="3"/>
    </row>
    <row r="1221">
      <c r="C1221" s="3"/>
    </row>
    <row r="1222">
      <c r="C1222" s="3"/>
    </row>
    <row r="1223">
      <c r="C1223" s="3"/>
    </row>
    <row r="1224">
      <c r="C1224" s="3"/>
    </row>
    <row r="1225">
      <c r="C1225" s="3"/>
    </row>
    <row r="1226">
      <c r="C1226" s="3"/>
    </row>
    <row r="1227">
      <c r="C1227" s="3"/>
    </row>
    <row r="1228">
      <c r="C1228" s="3"/>
    </row>
    <row r="1229">
      <c r="C1229" s="3"/>
    </row>
    <row r="1230">
      <c r="C1230" s="3"/>
    </row>
    <row r="1231">
      <c r="C1231" s="3"/>
    </row>
    <row r="1232">
      <c r="C1232" s="3"/>
    </row>
    <row r="1233">
      <c r="C1233" s="3"/>
    </row>
    <row r="1234">
      <c r="C1234" s="3"/>
    </row>
    <row r="1235">
      <c r="C1235" s="3"/>
    </row>
    <row r="1236">
      <c r="C1236" s="3"/>
    </row>
    <row r="1237">
      <c r="C1237" s="3"/>
    </row>
    <row r="1238">
      <c r="C1238" s="3"/>
    </row>
    <row r="1239">
      <c r="C1239" s="3"/>
    </row>
    <row r="1240">
      <c r="C1240" s="3"/>
    </row>
    <row r="1241">
      <c r="C1241" s="3"/>
    </row>
    <row r="1242">
      <c r="C1242" s="3"/>
    </row>
    <row r="1243">
      <c r="C1243" s="3"/>
    </row>
    <row r="1244">
      <c r="C1244" s="3"/>
    </row>
    <row r="1245">
      <c r="C1245" s="3"/>
    </row>
    <row r="1246">
      <c r="C1246" s="3"/>
    </row>
    <row r="1247">
      <c r="C1247" s="3"/>
    </row>
    <row r="1248">
      <c r="C1248" s="3"/>
    </row>
    <row r="1249">
      <c r="C1249" s="3"/>
    </row>
    <row r="1250">
      <c r="C1250" s="3"/>
    </row>
    <row r="1251">
      <c r="C1251" s="3"/>
    </row>
    <row r="1252">
      <c r="C1252" s="3"/>
    </row>
    <row r="1253">
      <c r="C1253" s="3"/>
    </row>
    <row r="1254">
      <c r="C1254" s="3"/>
    </row>
    <row r="1255">
      <c r="C1255" s="3"/>
    </row>
    <row r="1256">
      <c r="C1256" s="3"/>
    </row>
    <row r="1257">
      <c r="C1257" s="3"/>
    </row>
    <row r="1258">
      <c r="C1258" s="3"/>
    </row>
    <row r="1259">
      <c r="C1259" s="3"/>
    </row>
    <row r="1260">
      <c r="C1260" s="3"/>
    </row>
    <row r="1261">
      <c r="C1261" s="3"/>
    </row>
    <row r="1262">
      <c r="C1262" s="3"/>
    </row>
    <row r="1263">
      <c r="C1263" s="3"/>
    </row>
    <row r="1264">
      <c r="C1264" s="3"/>
    </row>
    <row r="1265">
      <c r="C1265" s="3"/>
    </row>
    <row r="1266">
      <c r="C1266" s="3"/>
    </row>
    <row r="1267">
      <c r="C1267" s="3"/>
    </row>
    <row r="1268">
      <c r="C1268" s="3"/>
    </row>
    <row r="1269">
      <c r="C1269" s="3"/>
    </row>
    <row r="1270">
      <c r="C1270" s="3"/>
    </row>
    <row r="1271">
      <c r="C1271" s="3"/>
    </row>
    <row r="1272">
      <c r="C1272" s="3"/>
    </row>
    <row r="1273">
      <c r="C1273" s="3"/>
    </row>
    <row r="1274">
      <c r="C1274" s="3"/>
    </row>
    <row r="1275">
      <c r="C1275" s="3"/>
    </row>
    <row r="1276">
      <c r="C1276" s="3"/>
    </row>
    <row r="1277">
      <c r="C1277" s="3"/>
    </row>
    <row r="1278">
      <c r="C1278" s="3"/>
    </row>
    <row r="1279">
      <c r="C1279" s="3"/>
    </row>
    <row r="1280">
      <c r="C1280" s="3"/>
    </row>
    <row r="1281">
      <c r="C1281" s="3"/>
    </row>
    <row r="1282">
      <c r="C1282" s="3"/>
    </row>
    <row r="1283">
      <c r="C1283" s="3"/>
    </row>
    <row r="1284">
      <c r="C1284" s="3"/>
    </row>
    <row r="1285">
      <c r="C1285" s="3"/>
    </row>
    <row r="1286">
      <c r="C1286" s="3"/>
    </row>
    <row r="1287">
      <c r="C1287" s="3"/>
    </row>
    <row r="1288">
      <c r="C1288" s="3"/>
    </row>
    <row r="1289">
      <c r="C1289" s="3"/>
    </row>
    <row r="1290">
      <c r="C1290" s="3"/>
    </row>
    <row r="1291">
      <c r="C1291" s="3"/>
    </row>
    <row r="1292">
      <c r="C1292" s="3"/>
    </row>
    <row r="1293">
      <c r="C1293" s="3"/>
    </row>
    <row r="1294">
      <c r="C1294" s="3"/>
    </row>
    <row r="1295">
      <c r="C1295" s="3"/>
    </row>
    <row r="1296">
      <c r="C1296" s="3"/>
    </row>
    <row r="1297">
      <c r="C1297" s="3"/>
    </row>
    <row r="1298">
      <c r="C1298" s="3"/>
    </row>
    <row r="1299">
      <c r="C1299" s="3"/>
    </row>
    <row r="1300">
      <c r="C1300" s="3"/>
    </row>
    <row r="1301">
      <c r="C1301" s="3"/>
    </row>
    <row r="1302">
      <c r="C1302" s="3"/>
    </row>
    <row r="1303">
      <c r="C1303" s="3"/>
    </row>
    <row r="1304">
      <c r="C1304" s="3"/>
    </row>
    <row r="1305">
      <c r="C1305" s="3"/>
    </row>
    <row r="1306">
      <c r="C1306" s="3"/>
    </row>
    <row r="1307">
      <c r="C1307" s="3"/>
    </row>
    <row r="1308">
      <c r="C1308" s="3"/>
    </row>
    <row r="1309">
      <c r="C1309" s="3"/>
    </row>
    <row r="1310">
      <c r="C1310" s="3"/>
    </row>
    <row r="1311">
      <c r="C1311" s="3"/>
    </row>
    <row r="1312">
      <c r="C1312" s="3"/>
    </row>
    <row r="1313">
      <c r="C1313" s="3"/>
    </row>
    <row r="1314">
      <c r="C1314" s="3"/>
    </row>
    <row r="1315">
      <c r="C1315" s="3"/>
    </row>
    <row r="1316">
      <c r="C1316" s="3"/>
    </row>
    <row r="1317">
      <c r="C1317" s="3"/>
    </row>
    <row r="1318">
      <c r="C1318" s="3"/>
    </row>
    <row r="1319">
      <c r="C1319" s="3"/>
    </row>
    <row r="1320">
      <c r="C1320" s="3"/>
    </row>
    <row r="1321">
      <c r="C1321" s="3"/>
    </row>
    <row r="1322">
      <c r="C1322" s="3"/>
    </row>
    <row r="1323">
      <c r="C1323" s="3"/>
    </row>
    <row r="1324">
      <c r="C1324" s="3"/>
    </row>
    <row r="1325">
      <c r="C1325" s="3"/>
    </row>
    <row r="1326">
      <c r="C1326" s="3"/>
    </row>
    <row r="1327">
      <c r="C1327" s="3"/>
    </row>
    <row r="1328">
      <c r="C1328" s="3"/>
    </row>
    <row r="1329">
      <c r="C1329" s="3"/>
    </row>
    <row r="1330">
      <c r="C1330" s="3"/>
    </row>
    <row r="1331">
      <c r="C1331" s="3"/>
    </row>
    <row r="1332">
      <c r="C1332" s="3"/>
    </row>
    <row r="1333">
      <c r="C1333" s="3"/>
    </row>
    <row r="1334">
      <c r="C1334" s="3"/>
    </row>
    <row r="1335">
      <c r="C1335" s="3"/>
    </row>
    <row r="1336">
      <c r="C1336" s="3"/>
    </row>
    <row r="1337">
      <c r="C1337" s="3"/>
    </row>
    <row r="1338">
      <c r="C1338" s="3"/>
    </row>
    <row r="1339">
      <c r="C1339" s="3"/>
    </row>
    <row r="1340">
      <c r="C1340" s="3"/>
    </row>
    <row r="1341">
      <c r="C1341" s="3"/>
    </row>
    <row r="1342">
      <c r="C1342" s="3"/>
    </row>
    <row r="1343">
      <c r="C1343" s="3"/>
    </row>
    <row r="1344">
      <c r="C1344" s="3"/>
    </row>
    <row r="1345">
      <c r="C1345" s="3"/>
    </row>
    <row r="1346">
      <c r="C1346" s="3"/>
    </row>
    <row r="1347">
      <c r="C1347" s="3"/>
    </row>
    <row r="1348">
      <c r="C1348" s="3"/>
    </row>
    <row r="1349">
      <c r="C1349" s="3"/>
    </row>
    <row r="1350">
      <c r="C1350" s="3"/>
    </row>
    <row r="1351">
      <c r="C1351" s="3"/>
    </row>
    <row r="1352">
      <c r="C1352" s="3"/>
    </row>
    <row r="1353">
      <c r="C1353" s="3"/>
    </row>
    <row r="1354">
      <c r="C1354" s="3"/>
    </row>
    <row r="1355">
      <c r="C1355" s="3"/>
    </row>
    <row r="1356">
      <c r="C1356" s="3"/>
    </row>
    <row r="1357">
      <c r="C1357" s="3"/>
    </row>
    <row r="1358">
      <c r="C1358" s="3"/>
    </row>
    <row r="1359">
      <c r="C1359" s="3"/>
    </row>
    <row r="1360">
      <c r="C1360" s="3"/>
    </row>
    <row r="1361">
      <c r="C1361" s="3"/>
    </row>
    <row r="1362">
      <c r="C1362" s="3"/>
    </row>
    <row r="1363">
      <c r="C1363" s="3"/>
    </row>
    <row r="1364">
      <c r="C1364" s="3"/>
    </row>
    <row r="1365">
      <c r="C1365" s="3"/>
    </row>
    <row r="1366">
      <c r="C1366" s="3"/>
    </row>
    <row r="1367">
      <c r="C1367" s="3"/>
    </row>
    <row r="1368">
      <c r="C1368" s="3"/>
    </row>
    <row r="1369">
      <c r="C1369" s="3"/>
    </row>
    <row r="1370">
      <c r="C1370" s="3"/>
    </row>
    <row r="1371">
      <c r="C1371" s="3"/>
    </row>
    <row r="1372">
      <c r="C1372" s="3"/>
    </row>
    <row r="1373">
      <c r="C1373" s="3"/>
    </row>
    <row r="1374">
      <c r="C1374" s="3"/>
    </row>
    <row r="1375">
      <c r="C1375" s="3"/>
    </row>
    <row r="1376">
      <c r="C1376" s="3"/>
    </row>
    <row r="1377">
      <c r="C1377" s="3"/>
    </row>
    <row r="1378">
      <c r="C1378" s="3"/>
    </row>
    <row r="1379">
      <c r="C1379" s="3"/>
    </row>
    <row r="1380">
      <c r="C1380" s="3"/>
    </row>
    <row r="1381">
      <c r="C1381" s="3"/>
    </row>
    <row r="1382">
      <c r="C1382" s="3"/>
    </row>
    <row r="1383">
      <c r="C1383" s="3"/>
    </row>
    <row r="1384">
      <c r="C1384" s="3"/>
    </row>
    <row r="1385">
      <c r="C1385" s="3"/>
    </row>
    <row r="1386">
      <c r="C1386" s="3"/>
    </row>
    <row r="1387">
      <c r="C1387" s="3"/>
    </row>
    <row r="1388">
      <c r="C1388" s="3"/>
    </row>
    <row r="1389">
      <c r="C1389" s="3"/>
    </row>
    <row r="1390">
      <c r="C1390" s="3"/>
    </row>
    <row r="1391">
      <c r="C1391" s="3"/>
    </row>
    <row r="1392">
      <c r="C1392" s="3"/>
    </row>
    <row r="1393">
      <c r="C1393" s="3"/>
    </row>
    <row r="1394">
      <c r="C1394" s="3"/>
    </row>
    <row r="1395">
      <c r="C1395" s="3"/>
    </row>
    <row r="1396">
      <c r="C1396" s="3"/>
    </row>
    <row r="1397">
      <c r="C1397" s="3"/>
    </row>
    <row r="1398">
      <c r="C1398" s="3"/>
    </row>
    <row r="1399">
      <c r="C1399" s="3"/>
    </row>
    <row r="1400">
      <c r="C1400" s="3"/>
    </row>
    <row r="1401">
      <c r="C1401" s="3"/>
    </row>
    <row r="1402">
      <c r="C1402" s="3"/>
    </row>
    <row r="1403">
      <c r="C1403" s="3"/>
    </row>
    <row r="1404">
      <c r="C1404" s="3"/>
    </row>
    <row r="1405">
      <c r="C1405" s="3"/>
    </row>
    <row r="1406">
      <c r="C1406" s="3"/>
    </row>
    <row r="1407">
      <c r="C1407" s="3"/>
    </row>
    <row r="1408">
      <c r="C1408" s="3"/>
    </row>
    <row r="1409">
      <c r="C1409" s="3"/>
    </row>
    <row r="1410">
      <c r="C1410" s="3"/>
    </row>
    <row r="1411">
      <c r="C1411" s="3"/>
    </row>
    <row r="1412">
      <c r="C1412" s="3"/>
    </row>
    <row r="1413">
      <c r="C1413" s="3"/>
    </row>
    <row r="1414">
      <c r="C1414" s="3"/>
    </row>
    <row r="1415">
      <c r="C1415" s="3"/>
    </row>
    <row r="1416">
      <c r="C1416" s="3"/>
    </row>
    <row r="1417">
      <c r="C1417" s="3"/>
    </row>
    <row r="1418">
      <c r="C1418" s="3"/>
    </row>
    <row r="1419">
      <c r="C1419" s="3"/>
    </row>
    <row r="1420">
      <c r="C1420" s="3"/>
    </row>
    <row r="1421">
      <c r="C1421" s="3"/>
    </row>
    <row r="1422">
      <c r="C1422" s="3"/>
    </row>
    <row r="1423">
      <c r="C1423" s="3"/>
    </row>
    <row r="1424">
      <c r="C1424" s="3"/>
    </row>
    <row r="1425">
      <c r="C1425" s="3"/>
    </row>
    <row r="1426">
      <c r="C1426" s="3"/>
    </row>
    <row r="1427">
      <c r="C1427" s="3"/>
    </row>
    <row r="1428">
      <c r="C1428" s="3"/>
    </row>
    <row r="1429">
      <c r="C1429" s="3"/>
    </row>
    <row r="1430">
      <c r="C1430" s="3"/>
    </row>
    <row r="1431">
      <c r="C1431" s="3"/>
    </row>
    <row r="1432">
      <c r="C1432" s="3"/>
    </row>
    <row r="1433">
      <c r="C1433" s="3"/>
    </row>
    <row r="1434">
      <c r="C1434" s="3"/>
    </row>
    <row r="1435">
      <c r="C1435" s="3"/>
    </row>
    <row r="1436">
      <c r="C1436" s="3"/>
    </row>
    <row r="1437">
      <c r="C1437" s="3"/>
    </row>
    <row r="1438">
      <c r="C1438" s="3"/>
    </row>
    <row r="1439">
      <c r="C1439" s="3"/>
    </row>
    <row r="1440">
      <c r="C1440" s="3"/>
    </row>
    <row r="1441">
      <c r="C1441" s="3"/>
    </row>
    <row r="1442">
      <c r="C1442" s="3"/>
    </row>
    <row r="1443">
      <c r="C1443" s="3"/>
    </row>
    <row r="1444">
      <c r="C1444" s="3"/>
    </row>
    <row r="1445">
      <c r="C1445" s="3"/>
    </row>
    <row r="1446">
      <c r="C1446" s="3"/>
    </row>
    <row r="1447">
      <c r="C1447" s="3"/>
    </row>
    <row r="1448">
      <c r="C1448" s="3"/>
    </row>
    <row r="1449">
      <c r="C1449" s="3"/>
    </row>
    <row r="1450">
      <c r="C1450" s="3"/>
    </row>
    <row r="1451">
      <c r="C1451" s="3"/>
    </row>
    <row r="1452">
      <c r="C1452" s="3"/>
    </row>
    <row r="1453">
      <c r="C1453" s="3"/>
    </row>
    <row r="1454">
      <c r="C1454" s="3"/>
    </row>
    <row r="1455">
      <c r="C1455" s="3"/>
    </row>
    <row r="1456">
      <c r="C1456" s="3"/>
    </row>
    <row r="1457">
      <c r="C1457" s="3"/>
    </row>
    <row r="1458">
      <c r="C1458" s="3"/>
    </row>
    <row r="1459">
      <c r="C1459" s="3"/>
    </row>
    <row r="1460">
      <c r="C1460" s="3"/>
    </row>
    <row r="1461">
      <c r="C1461" s="3"/>
    </row>
    <row r="1462">
      <c r="C1462" s="3"/>
    </row>
    <row r="1463">
      <c r="C1463" s="3"/>
    </row>
    <row r="1464">
      <c r="C1464" s="3"/>
    </row>
    <row r="1465">
      <c r="C1465" s="3"/>
    </row>
    <row r="1466">
      <c r="C1466" s="3"/>
    </row>
    <row r="1467">
      <c r="C1467" s="3"/>
    </row>
    <row r="1468">
      <c r="C1468" s="3"/>
    </row>
    <row r="1469">
      <c r="C1469" s="3"/>
    </row>
    <row r="1470">
      <c r="C1470" s="3"/>
    </row>
    <row r="1471">
      <c r="C1471" s="3"/>
    </row>
    <row r="1472">
      <c r="C1472" s="3"/>
    </row>
    <row r="1473">
      <c r="C1473" s="3"/>
    </row>
    <row r="1474">
      <c r="C1474" s="3"/>
    </row>
    <row r="1475">
      <c r="C1475" s="3"/>
    </row>
    <row r="1476">
      <c r="C1476" s="3"/>
    </row>
    <row r="1477">
      <c r="C1477" s="3"/>
    </row>
    <row r="1478">
      <c r="C1478" s="3"/>
    </row>
    <row r="1479">
      <c r="C1479" s="3"/>
    </row>
    <row r="1480">
      <c r="C1480" s="3"/>
    </row>
    <row r="1481">
      <c r="C1481" s="3"/>
    </row>
    <row r="1482">
      <c r="C1482" s="3"/>
    </row>
    <row r="1483">
      <c r="C1483" s="3"/>
    </row>
    <row r="1484">
      <c r="C148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 s="5">
        <v>44929.0</v>
      </c>
      <c r="B2" s="6">
        <v>109.779999</v>
      </c>
      <c r="C2" s="6">
        <v>110.019997</v>
      </c>
      <c r="D2" s="6">
        <v>105.489998</v>
      </c>
      <c r="E2" s="6">
        <v>106.510002</v>
      </c>
      <c r="F2" s="6">
        <v>105.696678</v>
      </c>
      <c r="G2" s="6">
        <v>1.51462E7</v>
      </c>
    </row>
    <row r="3">
      <c r="A3" s="5">
        <v>44930.0</v>
      </c>
      <c r="B3" s="6">
        <v>104.800003</v>
      </c>
      <c r="C3" s="6">
        <v>107.160004</v>
      </c>
      <c r="D3" s="6">
        <v>104.760002</v>
      </c>
      <c r="E3" s="6">
        <v>106.82</v>
      </c>
      <c r="F3" s="6">
        <v>106.004311</v>
      </c>
      <c r="G3" s="6">
        <v>1.80584E7</v>
      </c>
    </row>
    <row r="4">
      <c r="A4" s="5">
        <v>44931.0</v>
      </c>
      <c r="B4" s="6">
        <v>106.339996</v>
      </c>
      <c r="C4" s="6">
        <v>109.949997</v>
      </c>
      <c r="D4" s="6">
        <v>106.309998</v>
      </c>
      <c r="E4" s="6">
        <v>109.209999</v>
      </c>
      <c r="F4" s="6">
        <v>108.37606</v>
      </c>
      <c r="G4" s="6">
        <v>1.59466E7</v>
      </c>
    </row>
    <row r="5">
      <c r="A5" s="5">
        <v>44932.0</v>
      </c>
      <c r="B5" s="6">
        <v>110.080002</v>
      </c>
      <c r="C5" s="6">
        <v>111.989998</v>
      </c>
      <c r="D5" s="6">
        <v>109.669998</v>
      </c>
      <c r="E5" s="6">
        <v>110.529999</v>
      </c>
      <c r="F5" s="6">
        <v>109.685974</v>
      </c>
      <c r="G5" s="6">
        <v>1.63423E7</v>
      </c>
    </row>
    <row r="6">
      <c r="A6" s="5">
        <v>44935.0</v>
      </c>
      <c r="B6" s="6">
        <v>111.639999</v>
      </c>
      <c r="C6" s="6">
        <v>111.639999</v>
      </c>
      <c r="D6" s="6">
        <v>107.809998</v>
      </c>
      <c r="E6" s="6">
        <v>108.470001</v>
      </c>
      <c r="F6" s="6">
        <v>107.641708</v>
      </c>
      <c r="G6" s="6">
        <v>1.79646E7</v>
      </c>
    </row>
    <row r="7">
      <c r="A7" s="5">
        <v>44936.0</v>
      </c>
      <c r="B7" s="6">
        <v>109.790001</v>
      </c>
      <c r="C7" s="6">
        <v>110.330002</v>
      </c>
      <c r="D7" s="6">
        <v>108.010002</v>
      </c>
      <c r="E7" s="6">
        <v>110.089996</v>
      </c>
      <c r="F7" s="6">
        <v>109.249336</v>
      </c>
      <c r="G7" s="6">
        <v>1.51046E7</v>
      </c>
    </row>
    <row r="8">
      <c r="A8" s="5">
        <v>44937.0</v>
      </c>
      <c r="B8" s="6">
        <v>110.989998</v>
      </c>
      <c r="C8" s="6">
        <v>111.449997</v>
      </c>
      <c r="D8" s="6">
        <v>109.089996</v>
      </c>
      <c r="E8" s="6">
        <v>111.370003</v>
      </c>
      <c r="F8" s="6">
        <v>110.519569</v>
      </c>
      <c r="G8" s="6">
        <v>1.67104E7</v>
      </c>
    </row>
    <row r="9">
      <c r="A9" s="5">
        <v>44938.0</v>
      </c>
      <c r="B9" s="6">
        <v>111.82</v>
      </c>
      <c r="C9" s="6">
        <v>113.739998</v>
      </c>
      <c r="D9" s="6">
        <v>111.739998</v>
      </c>
      <c r="E9" s="6">
        <v>113.220001</v>
      </c>
      <c r="F9" s="6">
        <v>112.355438</v>
      </c>
      <c r="G9" s="6">
        <v>1.53573E7</v>
      </c>
    </row>
    <row r="10">
      <c r="A10" s="5">
        <v>44939.0</v>
      </c>
      <c r="B10" s="6">
        <v>113.110001</v>
      </c>
      <c r="C10" s="6">
        <v>113.489998</v>
      </c>
      <c r="D10" s="6">
        <v>112.160004</v>
      </c>
      <c r="E10" s="6">
        <v>113.150002</v>
      </c>
      <c r="F10" s="6">
        <v>112.285973</v>
      </c>
      <c r="G10" s="6">
        <v>1.20083E7</v>
      </c>
    </row>
    <row r="11">
      <c r="A11" s="5">
        <v>44943.0</v>
      </c>
      <c r="B11" s="6">
        <v>113.410004</v>
      </c>
      <c r="C11" s="6">
        <v>114.080002</v>
      </c>
      <c r="D11" s="6">
        <v>112.669998</v>
      </c>
      <c r="E11" s="6">
        <v>112.93</v>
      </c>
      <c r="F11" s="6">
        <v>112.06765</v>
      </c>
      <c r="G11" s="6">
        <v>1.65422E7</v>
      </c>
    </row>
    <row r="12">
      <c r="A12" s="5">
        <v>44944.0</v>
      </c>
      <c r="B12" s="6">
        <v>113.260002</v>
      </c>
      <c r="C12" s="6">
        <v>114.120003</v>
      </c>
      <c r="D12" s="6">
        <v>110.400002</v>
      </c>
      <c r="E12" s="6">
        <v>110.610001</v>
      </c>
      <c r="F12" s="6">
        <v>109.765366</v>
      </c>
      <c r="G12" s="6">
        <v>1.63997E7</v>
      </c>
    </row>
    <row r="13">
      <c r="A13" s="5">
        <v>44945.0</v>
      </c>
      <c r="B13" s="6">
        <v>110.07</v>
      </c>
      <c r="C13" s="6">
        <v>112.129997</v>
      </c>
      <c r="D13" s="6">
        <v>109.580002</v>
      </c>
      <c r="E13" s="6">
        <v>111.32</v>
      </c>
      <c r="F13" s="6">
        <v>110.469948</v>
      </c>
      <c r="G13" s="6">
        <v>1.2928E7</v>
      </c>
    </row>
    <row r="14">
      <c r="A14" s="5">
        <v>44946.0</v>
      </c>
      <c r="B14" s="6">
        <v>111.360001</v>
      </c>
      <c r="C14" s="6">
        <v>113.440002</v>
      </c>
      <c r="D14" s="6">
        <v>110.610001</v>
      </c>
      <c r="E14" s="6">
        <v>113.349998</v>
      </c>
      <c r="F14" s="6">
        <v>112.484444</v>
      </c>
      <c r="G14" s="6">
        <v>1.64814E7</v>
      </c>
    </row>
    <row r="15">
      <c r="A15" s="5">
        <v>44949.0</v>
      </c>
      <c r="B15" s="6">
        <v>113.639999</v>
      </c>
      <c r="C15" s="6">
        <v>114.589996</v>
      </c>
      <c r="D15" s="6">
        <v>112.639999</v>
      </c>
      <c r="E15" s="6">
        <v>112.760002</v>
      </c>
      <c r="F15" s="6">
        <v>111.898949</v>
      </c>
      <c r="G15" s="6">
        <v>1.65844E7</v>
      </c>
    </row>
    <row r="16">
      <c r="A16" s="5">
        <v>44950.0</v>
      </c>
      <c r="B16" s="6">
        <v>109.160004</v>
      </c>
      <c r="C16" s="6">
        <v>114.019997</v>
      </c>
      <c r="D16" s="6">
        <v>99.230003</v>
      </c>
      <c r="E16" s="6">
        <v>113.809998</v>
      </c>
      <c r="F16" s="6">
        <v>112.940933</v>
      </c>
      <c r="G16" s="6">
        <v>1.35831E7</v>
      </c>
    </row>
    <row r="17">
      <c r="A17" s="5">
        <v>44951.0</v>
      </c>
      <c r="B17" s="6">
        <v>113.230003</v>
      </c>
      <c r="C17" s="6">
        <v>113.650002</v>
      </c>
      <c r="D17" s="6">
        <v>111.389999</v>
      </c>
      <c r="E17" s="6">
        <v>113.209999</v>
      </c>
      <c r="F17" s="6">
        <v>112.345512</v>
      </c>
      <c r="G17" s="6">
        <v>1.19147E7</v>
      </c>
    </row>
    <row r="18">
      <c r="A18" s="5">
        <v>44952.0</v>
      </c>
      <c r="B18" s="6">
        <v>114.720001</v>
      </c>
      <c r="C18" s="6">
        <v>117.779999</v>
      </c>
      <c r="D18" s="6">
        <v>114.339996</v>
      </c>
      <c r="E18" s="6">
        <v>117.760002</v>
      </c>
      <c r="F18" s="6">
        <v>116.860771</v>
      </c>
      <c r="G18" s="6">
        <v>2.10197E7</v>
      </c>
    </row>
    <row r="19">
      <c r="A19" s="5">
        <v>44953.0</v>
      </c>
      <c r="B19" s="6">
        <v>116.949997</v>
      </c>
      <c r="C19" s="6">
        <v>117.669998</v>
      </c>
      <c r="D19" s="6">
        <v>115.389999</v>
      </c>
      <c r="E19" s="6">
        <v>115.610001</v>
      </c>
      <c r="F19" s="6">
        <v>114.727188</v>
      </c>
      <c r="G19" s="6">
        <v>1.51757E7</v>
      </c>
    </row>
    <row r="20">
      <c r="A20" s="5">
        <v>44956.0</v>
      </c>
      <c r="B20" s="6">
        <v>115.089996</v>
      </c>
      <c r="C20" s="6">
        <v>115.489998</v>
      </c>
      <c r="D20" s="6">
        <v>113.150002</v>
      </c>
      <c r="E20" s="6">
        <v>113.559998</v>
      </c>
      <c r="F20" s="6">
        <v>112.692841</v>
      </c>
      <c r="G20" s="6">
        <v>1.86721E7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12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1"/>
    </row>
    <row r="2">
      <c r="A2" s="5">
        <v>44564.0</v>
      </c>
      <c r="B2" s="6">
        <v>8.03</v>
      </c>
      <c r="C2" s="6">
        <v>8.16</v>
      </c>
      <c r="D2" s="6">
        <v>8.03</v>
      </c>
      <c r="E2" s="6">
        <v>8.09</v>
      </c>
      <c r="F2" s="6">
        <v>6.840712</v>
      </c>
      <c r="G2" s="6">
        <v>1.8826599E7</v>
      </c>
      <c r="I2" s="2"/>
    </row>
    <row r="3">
      <c r="A3" s="5">
        <v>44565.0</v>
      </c>
      <c r="B3" s="6">
        <v>8.13</v>
      </c>
      <c r="C3" s="6">
        <v>8.32</v>
      </c>
      <c r="D3" s="6">
        <v>8.13</v>
      </c>
      <c r="E3" s="6">
        <v>8.2</v>
      </c>
      <c r="F3" s="6">
        <v>6.933725</v>
      </c>
      <c r="G3" s="6">
        <v>8.245013E7</v>
      </c>
      <c r="I3" s="2"/>
    </row>
    <row r="4">
      <c r="A4" s="5">
        <v>44566.0</v>
      </c>
      <c r="B4" s="6">
        <v>8.32</v>
      </c>
      <c r="C4" s="6">
        <v>8.58</v>
      </c>
      <c r="D4" s="6">
        <v>8.3</v>
      </c>
      <c r="E4" s="6">
        <v>8.4</v>
      </c>
      <c r="F4" s="6">
        <v>7.10284</v>
      </c>
      <c r="G4" s="7">
        <v>1.94E8</v>
      </c>
      <c r="I4" s="2"/>
    </row>
    <row r="5">
      <c r="A5" s="5">
        <v>44567.0</v>
      </c>
      <c r="B5" s="6">
        <v>8.41</v>
      </c>
      <c r="C5" s="6">
        <v>8.56</v>
      </c>
      <c r="D5" s="6">
        <v>8.41</v>
      </c>
      <c r="E5" s="6">
        <v>8.54</v>
      </c>
      <c r="F5" s="6">
        <v>7.221221</v>
      </c>
      <c r="G5" s="6">
        <v>7.7609289E7</v>
      </c>
      <c r="I5" s="2"/>
    </row>
    <row r="6">
      <c r="A6" s="5">
        <v>44568.0</v>
      </c>
      <c r="B6" s="6">
        <v>8.6</v>
      </c>
      <c r="C6" s="6">
        <v>8.65</v>
      </c>
      <c r="D6" s="6">
        <v>8.54</v>
      </c>
      <c r="E6" s="6">
        <v>8.59</v>
      </c>
      <c r="F6" s="6">
        <v>7.2635</v>
      </c>
      <c r="G6" s="6">
        <v>7.5301301E7</v>
      </c>
      <c r="I6" s="2"/>
    </row>
    <row r="7">
      <c r="A7" s="5">
        <v>44571.0</v>
      </c>
      <c r="B7" s="6">
        <v>8.57</v>
      </c>
      <c r="C7" s="6">
        <v>8.6</v>
      </c>
      <c r="D7" s="6">
        <v>8.48</v>
      </c>
      <c r="E7" s="6">
        <v>8.54</v>
      </c>
      <c r="F7" s="6">
        <v>7.221221</v>
      </c>
      <c r="G7" s="6">
        <v>4.2888502E7</v>
      </c>
      <c r="I7" s="2"/>
    </row>
    <row r="8">
      <c r="A8" s="5">
        <v>44572.0</v>
      </c>
      <c r="B8" s="6">
        <v>8.48</v>
      </c>
      <c r="C8" s="6">
        <v>8.62</v>
      </c>
      <c r="D8" s="6">
        <v>8.42</v>
      </c>
      <c r="E8" s="6">
        <v>8.57</v>
      </c>
      <c r="F8" s="6">
        <v>7.246588</v>
      </c>
      <c r="G8" s="6">
        <v>4.7896336E7</v>
      </c>
      <c r="I8" s="2"/>
    </row>
    <row r="9">
      <c r="A9" s="5">
        <v>44573.0</v>
      </c>
      <c r="B9" s="6">
        <v>9.45</v>
      </c>
      <c r="C9" s="6">
        <v>9.52</v>
      </c>
      <c r="D9" s="6">
        <v>9.11</v>
      </c>
      <c r="E9" s="6">
        <v>9.15</v>
      </c>
      <c r="F9" s="6">
        <v>7.737022</v>
      </c>
      <c r="G9" s="7">
        <v>3.42E8</v>
      </c>
      <c r="I9" s="2"/>
    </row>
    <row r="10">
      <c r="A10" s="5">
        <v>44574.0</v>
      </c>
      <c r="B10" s="6">
        <v>9.23</v>
      </c>
      <c r="C10" s="6">
        <v>9.38</v>
      </c>
      <c r="D10" s="6">
        <v>9.18</v>
      </c>
      <c r="E10" s="6">
        <v>9.24</v>
      </c>
      <c r="F10" s="6">
        <v>7.813124</v>
      </c>
      <c r="G10" s="7">
        <v>1.32E8</v>
      </c>
      <c r="I10" s="2"/>
    </row>
    <row r="11">
      <c r="A11" s="5">
        <v>44575.0</v>
      </c>
      <c r="B11" s="6">
        <v>9.23</v>
      </c>
      <c r="C11" s="6">
        <v>9.29</v>
      </c>
      <c r="D11" s="6">
        <v>9.13</v>
      </c>
      <c r="E11" s="6">
        <v>9.2</v>
      </c>
      <c r="F11" s="6">
        <v>7.779301</v>
      </c>
      <c r="G11" s="6">
        <v>8.3076654E7</v>
      </c>
      <c r="I11" s="2"/>
    </row>
    <row r="12">
      <c r="A12" s="5">
        <v>44579.0</v>
      </c>
      <c r="B12" s="6">
        <v>9.3</v>
      </c>
      <c r="C12" s="6">
        <v>9.42</v>
      </c>
      <c r="D12" s="6">
        <v>9.24</v>
      </c>
      <c r="E12" s="6">
        <v>9.35</v>
      </c>
      <c r="F12" s="6">
        <v>7.906139</v>
      </c>
      <c r="G12" s="7">
        <v>1.1E8</v>
      </c>
      <c r="I12" s="2"/>
    </row>
    <row r="13">
      <c r="A13" s="5">
        <v>44580.0</v>
      </c>
      <c r="B13" s="6">
        <v>9.4</v>
      </c>
      <c r="C13" s="6">
        <v>9.5</v>
      </c>
      <c r="D13" s="6">
        <v>9.38</v>
      </c>
      <c r="E13" s="6">
        <v>9.43</v>
      </c>
      <c r="F13" s="6">
        <v>7.973784</v>
      </c>
      <c r="G13" s="7">
        <v>1.02E8</v>
      </c>
      <c r="I13" s="2"/>
    </row>
    <row r="14">
      <c r="A14" s="5">
        <v>44581.0</v>
      </c>
      <c r="B14" s="6">
        <v>9.43</v>
      </c>
      <c r="C14" s="6">
        <v>9.49</v>
      </c>
      <c r="D14" s="6">
        <v>9.28</v>
      </c>
      <c r="E14" s="6">
        <v>9.31</v>
      </c>
      <c r="F14" s="6">
        <v>7.872315</v>
      </c>
      <c r="G14" s="7">
        <v>1.13E8</v>
      </c>
      <c r="I14" s="2"/>
    </row>
    <row r="15">
      <c r="A15" s="5">
        <v>44582.0</v>
      </c>
      <c r="B15" s="6">
        <v>9.21</v>
      </c>
      <c r="C15" s="6">
        <v>9.3</v>
      </c>
      <c r="D15" s="6">
        <v>9.15</v>
      </c>
      <c r="E15" s="6">
        <v>9.28</v>
      </c>
      <c r="F15" s="6">
        <v>7.846948</v>
      </c>
      <c r="G15" s="7">
        <v>1.07E8</v>
      </c>
      <c r="I15" s="2"/>
    </row>
    <row r="16">
      <c r="A16" s="5">
        <v>44585.0</v>
      </c>
      <c r="B16" s="6">
        <v>9.26</v>
      </c>
      <c r="C16" s="6">
        <v>9.41</v>
      </c>
      <c r="D16" s="6">
        <v>9.2</v>
      </c>
      <c r="E16" s="6">
        <v>9.35</v>
      </c>
      <c r="F16" s="6">
        <v>7.906139</v>
      </c>
      <c r="G16" s="6">
        <v>9.0012107E7</v>
      </c>
      <c r="I16" s="2"/>
    </row>
    <row r="17">
      <c r="A17" s="5">
        <v>44586.0</v>
      </c>
      <c r="B17" s="6">
        <v>9.27</v>
      </c>
      <c r="C17" s="6">
        <v>9.36</v>
      </c>
      <c r="D17" s="6">
        <v>9.18</v>
      </c>
      <c r="E17" s="6">
        <v>9.24</v>
      </c>
      <c r="F17" s="6">
        <v>7.813124</v>
      </c>
      <c r="G17" s="6">
        <v>9.4847844E7</v>
      </c>
      <c r="I17" s="2"/>
    </row>
    <row r="18">
      <c r="A18" s="5">
        <v>44587.0</v>
      </c>
      <c r="B18" s="6">
        <v>9.31</v>
      </c>
      <c r="C18" s="6">
        <v>9.49</v>
      </c>
      <c r="D18" s="6">
        <v>9.3</v>
      </c>
      <c r="E18" s="6">
        <v>9.41</v>
      </c>
      <c r="F18" s="6">
        <v>7.956872</v>
      </c>
      <c r="G18" s="6">
        <v>9.5103838E7</v>
      </c>
      <c r="I18" s="2"/>
    </row>
    <row r="19">
      <c r="A19" s="5">
        <v>44588.0</v>
      </c>
      <c r="B19" s="6">
        <v>9.42</v>
      </c>
      <c r="C19" s="6">
        <v>9.48</v>
      </c>
      <c r="D19" s="6">
        <v>9.29</v>
      </c>
      <c r="E19" s="6">
        <v>9.31</v>
      </c>
      <c r="F19" s="6">
        <v>7.872315</v>
      </c>
      <c r="G19" s="6">
        <v>5.2800402E7</v>
      </c>
      <c r="I19" s="2"/>
    </row>
    <row r="20">
      <c r="A20" s="5">
        <v>44589.0</v>
      </c>
      <c r="B20" s="6">
        <v>9.28</v>
      </c>
      <c r="C20" s="6">
        <v>9.44</v>
      </c>
      <c r="D20" s="6">
        <v>9.28</v>
      </c>
      <c r="E20" s="6">
        <v>9.34</v>
      </c>
      <c r="F20" s="6">
        <v>7.897682</v>
      </c>
      <c r="G20" s="6">
        <v>3.4287442E7</v>
      </c>
      <c r="I20" s="2"/>
    </row>
    <row r="21">
      <c r="A21" s="5">
        <v>44592.0</v>
      </c>
      <c r="B21" s="6">
        <v>9.37</v>
      </c>
      <c r="C21" s="6">
        <v>9.37</v>
      </c>
      <c r="D21" s="6">
        <v>9.37</v>
      </c>
      <c r="E21" s="6">
        <v>9.37</v>
      </c>
      <c r="F21" s="6">
        <v>7.923049</v>
      </c>
      <c r="G21" s="6">
        <v>0.0</v>
      </c>
      <c r="I21" s="2"/>
    </row>
    <row r="22">
      <c r="A22" s="5">
        <v>44596.0</v>
      </c>
      <c r="B22" s="6">
        <v>9.5</v>
      </c>
      <c r="C22" s="6">
        <v>9.59</v>
      </c>
      <c r="D22" s="6">
        <v>9.48</v>
      </c>
      <c r="E22" s="6">
        <v>9.5</v>
      </c>
      <c r="F22" s="6">
        <v>8.032974</v>
      </c>
      <c r="G22" s="6">
        <v>7.1712611E7</v>
      </c>
      <c r="I22" s="2"/>
    </row>
    <row r="23">
      <c r="A23" s="5">
        <v>44599.0</v>
      </c>
      <c r="B23" s="6">
        <v>9.6</v>
      </c>
      <c r="C23" s="6">
        <v>9.99</v>
      </c>
      <c r="D23" s="6">
        <v>9.6</v>
      </c>
      <c r="E23" s="6">
        <v>9.9</v>
      </c>
      <c r="F23" s="6">
        <v>8.371204</v>
      </c>
      <c r="G23" s="7">
        <v>2.58E8</v>
      </c>
      <c r="I23" s="2"/>
    </row>
    <row r="24">
      <c r="A24" s="5">
        <v>44600.0</v>
      </c>
      <c r="B24" s="6">
        <v>9.86</v>
      </c>
      <c r="C24" s="6">
        <v>10.0</v>
      </c>
      <c r="D24" s="6">
        <v>9.7</v>
      </c>
      <c r="E24" s="6">
        <v>9.79</v>
      </c>
      <c r="F24" s="6">
        <v>8.278192</v>
      </c>
      <c r="G24" s="7">
        <v>1.56E8</v>
      </c>
      <c r="I24" s="2"/>
    </row>
    <row r="25">
      <c r="A25" s="5">
        <v>44601.0</v>
      </c>
      <c r="B25" s="6">
        <v>9.73</v>
      </c>
      <c r="C25" s="6">
        <v>10.04</v>
      </c>
      <c r="D25" s="6">
        <v>9.71</v>
      </c>
      <c r="E25" s="6">
        <v>9.86</v>
      </c>
      <c r="F25" s="6">
        <v>8.337381</v>
      </c>
      <c r="G25" s="7">
        <v>1.81E8</v>
      </c>
      <c r="I25" s="2"/>
    </row>
    <row r="26">
      <c r="A26" s="5">
        <v>44602.0</v>
      </c>
      <c r="B26" s="6">
        <v>9.93</v>
      </c>
      <c r="C26" s="6">
        <v>9.99</v>
      </c>
      <c r="D26" s="6">
        <v>9.75</v>
      </c>
      <c r="E26" s="6">
        <v>9.86</v>
      </c>
      <c r="F26" s="6">
        <v>8.337381</v>
      </c>
      <c r="G26" s="7">
        <v>1.12E8</v>
      </c>
      <c r="I26" s="2"/>
    </row>
    <row r="27">
      <c r="A27" s="5">
        <v>44603.0</v>
      </c>
      <c r="B27" s="6">
        <v>9.83</v>
      </c>
      <c r="C27" s="6">
        <v>10.06</v>
      </c>
      <c r="D27" s="6">
        <v>9.78</v>
      </c>
      <c r="E27" s="6">
        <v>9.95</v>
      </c>
      <c r="F27" s="6">
        <v>8.413484</v>
      </c>
      <c r="G27" s="7">
        <v>1.25E8</v>
      </c>
      <c r="I27" s="2"/>
    </row>
    <row r="28">
      <c r="A28" s="5">
        <v>44606.0</v>
      </c>
      <c r="B28" s="6">
        <v>10.16</v>
      </c>
      <c r="C28" s="6">
        <v>10.46</v>
      </c>
      <c r="D28" s="6">
        <v>9.95</v>
      </c>
      <c r="E28" s="6">
        <v>9.96</v>
      </c>
      <c r="F28" s="6">
        <v>8.421939</v>
      </c>
      <c r="G28" s="7">
        <v>1.78E8</v>
      </c>
      <c r="I28" s="2"/>
    </row>
    <row r="29">
      <c r="A29" s="5">
        <v>44607.0</v>
      </c>
      <c r="B29" s="6">
        <v>9.98</v>
      </c>
      <c r="C29" s="6">
        <v>10.02</v>
      </c>
      <c r="D29" s="6">
        <v>9.62</v>
      </c>
      <c r="E29" s="6">
        <v>9.7</v>
      </c>
      <c r="F29" s="6">
        <v>8.20209</v>
      </c>
      <c r="G29" s="7">
        <v>1.38E8</v>
      </c>
      <c r="I29" s="2"/>
    </row>
    <row r="30">
      <c r="A30" s="5">
        <v>44608.0</v>
      </c>
      <c r="B30" s="6">
        <v>9.6</v>
      </c>
      <c r="C30" s="6">
        <v>9.92</v>
      </c>
      <c r="D30" s="6">
        <v>9.6</v>
      </c>
      <c r="E30" s="6">
        <v>9.82</v>
      </c>
      <c r="F30" s="6">
        <v>8.303558</v>
      </c>
      <c r="G30" s="6">
        <v>9.3669208E7</v>
      </c>
      <c r="I30" s="2"/>
    </row>
    <row r="31">
      <c r="A31" s="5">
        <v>44609.0</v>
      </c>
      <c r="B31" s="6">
        <v>9.83</v>
      </c>
      <c r="C31" s="6">
        <v>9.92</v>
      </c>
      <c r="D31" s="6">
        <v>9.74</v>
      </c>
      <c r="E31" s="6">
        <v>9.83</v>
      </c>
      <c r="F31" s="6">
        <v>8.312015</v>
      </c>
      <c r="G31" s="6">
        <v>6.6089802E7</v>
      </c>
      <c r="I31" s="2"/>
    </row>
    <row r="32">
      <c r="A32" s="5">
        <v>44610.0</v>
      </c>
      <c r="B32" s="6">
        <v>9.83</v>
      </c>
      <c r="C32" s="6">
        <v>9.94</v>
      </c>
      <c r="D32" s="6">
        <v>9.77</v>
      </c>
      <c r="E32" s="6">
        <v>9.87</v>
      </c>
      <c r="F32" s="6">
        <v>8.345838</v>
      </c>
      <c r="G32" s="6">
        <v>8.7094843E7</v>
      </c>
      <c r="I32" s="2"/>
    </row>
    <row r="33">
      <c r="A33" s="5">
        <v>44614.0</v>
      </c>
      <c r="B33" s="6">
        <v>10.12</v>
      </c>
      <c r="C33" s="6">
        <v>10.26</v>
      </c>
      <c r="D33" s="6">
        <v>10.0</v>
      </c>
      <c r="E33" s="6">
        <v>10.06</v>
      </c>
      <c r="F33" s="6">
        <v>8.506497</v>
      </c>
      <c r="G33" s="7">
        <v>1.36E8</v>
      </c>
      <c r="I33" s="2"/>
    </row>
    <row r="34">
      <c r="A34" s="5">
        <v>44615.0</v>
      </c>
      <c r="B34" s="6">
        <v>10.16</v>
      </c>
      <c r="C34" s="6">
        <v>10.18</v>
      </c>
      <c r="D34" s="6">
        <v>9.92</v>
      </c>
      <c r="E34" s="6">
        <v>10.02</v>
      </c>
      <c r="F34" s="6">
        <v>8.472674</v>
      </c>
      <c r="G34" s="6">
        <v>6.6328024E7</v>
      </c>
      <c r="I34" s="2"/>
    </row>
    <row r="35">
      <c r="A35" s="5">
        <v>44616.0</v>
      </c>
      <c r="B35" s="6">
        <v>10.0</v>
      </c>
      <c r="C35" s="6">
        <v>10.2</v>
      </c>
      <c r="D35" s="6">
        <v>9.98</v>
      </c>
      <c r="E35" s="6">
        <v>10.12</v>
      </c>
      <c r="F35" s="6">
        <v>8.557231</v>
      </c>
      <c r="G35" s="7">
        <v>1.34E8</v>
      </c>
      <c r="I35" s="2"/>
    </row>
    <row r="36">
      <c r="A36" s="5">
        <v>44617.0</v>
      </c>
      <c r="B36" s="6">
        <v>10.08</v>
      </c>
      <c r="C36" s="6">
        <v>10.08</v>
      </c>
      <c r="D36" s="6">
        <v>9.73</v>
      </c>
      <c r="E36" s="6">
        <v>9.8</v>
      </c>
      <c r="F36" s="6">
        <v>8.286647</v>
      </c>
      <c r="G36" s="7">
        <v>1.53E8</v>
      </c>
      <c r="I36" s="2"/>
    </row>
    <row r="37">
      <c r="A37" s="5">
        <v>44620.0</v>
      </c>
      <c r="B37" s="6">
        <v>9.9</v>
      </c>
      <c r="C37" s="6">
        <v>10.06</v>
      </c>
      <c r="D37" s="6">
        <v>9.84</v>
      </c>
      <c r="E37" s="6">
        <v>9.97</v>
      </c>
      <c r="F37" s="6">
        <v>8.430395</v>
      </c>
      <c r="G37" s="7">
        <v>1.17E8</v>
      </c>
      <c r="I37" s="2"/>
    </row>
    <row r="38">
      <c r="A38" s="5">
        <v>44621.0</v>
      </c>
      <c r="B38" s="6">
        <v>9.95</v>
      </c>
      <c r="C38" s="6">
        <v>10.16</v>
      </c>
      <c r="D38" s="6">
        <v>9.88</v>
      </c>
      <c r="E38" s="6">
        <v>10.02</v>
      </c>
      <c r="F38" s="6">
        <v>8.472674</v>
      </c>
      <c r="G38" s="6">
        <v>8.8269914E7</v>
      </c>
      <c r="I38" s="2"/>
    </row>
    <row r="39">
      <c r="A39" s="5">
        <v>44622.0</v>
      </c>
      <c r="B39" s="6">
        <v>10.22</v>
      </c>
      <c r="C39" s="6">
        <v>10.54</v>
      </c>
      <c r="D39" s="6">
        <v>10.22</v>
      </c>
      <c r="E39" s="6">
        <v>10.36</v>
      </c>
      <c r="F39" s="6">
        <v>8.760169</v>
      </c>
      <c r="G39" s="7">
        <v>2.5E8</v>
      </c>
      <c r="I39" s="2"/>
    </row>
    <row r="40">
      <c r="A40" s="5">
        <v>44623.0</v>
      </c>
      <c r="B40" s="6">
        <v>10.5</v>
      </c>
      <c r="C40" s="6">
        <v>10.76</v>
      </c>
      <c r="D40" s="6">
        <v>10.4</v>
      </c>
      <c r="E40" s="6">
        <v>10.64</v>
      </c>
      <c r="F40" s="6">
        <v>8.996931</v>
      </c>
      <c r="G40" s="7">
        <v>2.38E8</v>
      </c>
      <c r="I40" s="2"/>
    </row>
    <row r="41">
      <c r="A41" s="5">
        <v>44624.0</v>
      </c>
      <c r="B41" s="6">
        <v>10.44</v>
      </c>
      <c r="C41" s="6">
        <v>10.6</v>
      </c>
      <c r="D41" s="6">
        <v>10.4</v>
      </c>
      <c r="E41" s="6">
        <v>10.42</v>
      </c>
      <c r="F41" s="6">
        <v>8.810905</v>
      </c>
      <c r="G41" s="7">
        <v>1.4E8</v>
      </c>
      <c r="I41" s="2"/>
    </row>
    <row r="42">
      <c r="A42" s="5">
        <v>44627.0</v>
      </c>
      <c r="B42" s="6">
        <v>10.86</v>
      </c>
      <c r="C42" s="6">
        <v>10.98</v>
      </c>
      <c r="D42" s="6">
        <v>10.46</v>
      </c>
      <c r="E42" s="6">
        <v>10.66</v>
      </c>
      <c r="F42" s="6">
        <v>9.013843</v>
      </c>
      <c r="G42" s="7">
        <v>2.71E8</v>
      </c>
      <c r="I42" s="2"/>
    </row>
    <row r="43">
      <c r="A43" s="5">
        <v>44628.0</v>
      </c>
      <c r="B43" s="6">
        <v>10.6</v>
      </c>
      <c r="C43" s="6">
        <v>10.76</v>
      </c>
      <c r="D43" s="6">
        <v>10.04</v>
      </c>
      <c r="E43" s="6">
        <v>10.18</v>
      </c>
      <c r="F43" s="6">
        <v>8.607966</v>
      </c>
      <c r="G43" s="7">
        <v>2.35E8</v>
      </c>
      <c r="I43" s="2"/>
    </row>
    <row r="44">
      <c r="A44" s="5">
        <v>44629.0</v>
      </c>
      <c r="B44" s="6">
        <v>10.34</v>
      </c>
      <c r="C44" s="6">
        <v>10.5</v>
      </c>
      <c r="D44" s="6">
        <v>9.81</v>
      </c>
      <c r="E44" s="6">
        <v>10.12</v>
      </c>
      <c r="F44" s="6">
        <v>8.557231</v>
      </c>
      <c r="G44" s="7">
        <v>1.96E8</v>
      </c>
      <c r="I44" s="2"/>
    </row>
    <row r="45">
      <c r="A45" s="5">
        <v>44630.0</v>
      </c>
      <c r="B45" s="6">
        <v>9.82</v>
      </c>
      <c r="C45" s="6">
        <v>10.14</v>
      </c>
      <c r="D45" s="6">
        <v>9.8</v>
      </c>
      <c r="E45" s="6">
        <v>10.1</v>
      </c>
      <c r="F45" s="6">
        <v>8.54032</v>
      </c>
      <c r="G45" s="7">
        <v>1.49E8</v>
      </c>
      <c r="I45" s="2"/>
    </row>
    <row r="46">
      <c r="A46" s="5">
        <v>44631.0</v>
      </c>
      <c r="B46" s="6">
        <v>9.98</v>
      </c>
      <c r="C46" s="6">
        <v>10.0</v>
      </c>
      <c r="D46" s="6">
        <v>9.62</v>
      </c>
      <c r="E46" s="6">
        <v>9.79</v>
      </c>
      <c r="F46" s="6">
        <v>8.278192</v>
      </c>
      <c r="G46" s="7">
        <v>1.69E8</v>
      </c>
      <c r="I46" s="2"/>
    </row>
    <row r="47">
      <c r="A47" s="5">
        <v>44634.0</v>
      </c>
      <c r="B47" s="6">
        <v>9.6</v>
      </c>
      <c r="C47" s="6">
        <v>9.74</v>
      </c>
      <c r="D47" s="6">
        <v>9.29</v>
      </c>
      <c r="E47" s="6">
        <v>9.47</v>
      </c>
      <c r="F47" s="6">
        <v>8.007607</v>
      </c>
      <c r="G47" s="7">
        <v>1.92E8</v>
      </c>
      <c r="I47" s="2"/>
    </row>
    <row r="48">
      <c r="A48" s="5">
        <v>44635.0</v>
      </c>
      <c r="B48" s="6">
        <v>9.17</v>
      </c>
      <c r="C48" s="6">
        <v>9.4</v>
      </c>
      <c r="D48" s="6">
        <v>8.54</v>
      </c>
      <c r="E48" s="6">
        <v>8.92</v>
      </c>
      <c r="F48" s="6">
        <v>7.54254</v>
      </c>
      <c r="G48" s="7">
        <v>3.53E8</v>
      </c>
      <c r="I48" s="2"/>
    </row>
    <row r="49">
      <c r="A49" s="5">
        <v>44636.0</v>
      </c>
      <c r="B49" s="6">
        <v>8.9</v>
      </c>
      <c r="C49" s="6">
        <v>9.41</v>
      </c>
      <c r="D49" s="6">
        <v>8.84</v>
      </c>
      <c r="E49" s="6">
        <v>9.19</v>
      </c>
      <c r="F49" s="6">
        <v>7.770845</v>
      </c>
      <c r="G49" s="7">
        <v>1.82E8</v>
      </c>
      <c r="I49" s="2"/>
    </row>
    <row r="50">
      <c r="A50" s="5">
        <v>44637.0</v>
      </c>
      <c r="B50" s="6">
        <v>9.4</v>
      </c>
      <c r="C50" s="6">
        <v>9.6</v>
      </c>
      <c r="D50" s="6">
        <v>9.2</v>
      </c>
      <c r="E50" s="6">
        <v>9.52</v>
      </c>
      <c r="F50" s="6">
        <v>8.049886</v>
      </c>
      <c r="G50" s="7">
        <v>1.34E8</v>
      </c>
      <c r="I50" s="2"/>
    </row>
    <row r="51">
      <c r="A51" s="5">
        <v>44638.0</v>
      </c>
      <c r="B51" s="6">
        <v>9.66</v>
      </c>
      <c r="C51" s="6">
        <v>9.95</v>
      </c>
      <c r="D51" s="6">
        <v>9.65</v>
      </c>
      <c r="E51" s="6">
        <v>9.84</v>
      </c>
      <c r="F51" s="6">
        <v>8.32047</v>
      </c>
      <c r="G51" s="7">
        <v>1.46E8</v>
      </c>
      <c r="I51" s="2"/>
    </row>
    <row r="52">
      <c r="A52" s="5">
        <v>44641.0</v>
      </c>
      <c r="B52" s="6">
        <v>9.98</v>
      </c>
      <c r="C52" s="6">
        <v>10.12</v>
      </c>
      <c r="D52" s="6">
        <v>9.85</v>
      </c>
      <c r="E52" s="6">
        <v>9.92</v>
      </c>
      <c r="F52" s="6">
        <v>8.388117</v>
      </c>
      <c r="G52" s="6">
        <v>9.7787605E7</v>
      </c>
      <c r="I52" s="2"/>
    </row>
    <row r="53">
      <c r="A53" s="5">
        <v>44642.0</v>
      </c>
      <c r="B53" s="6">
        <v>10.14</v>
      </c>
      <c r="C53" s="6">
        <v>10.48</v>
      </c>
      <c r="D53" s="6">
        <v>10.14</v>
      </c>
      <c r="E53" s="6">
        <v>10.36</v>
      </c>
      <c r="F53" s="6">
        <v>8.760169</v>
      </c>
      <c r="G53" s="7">
        <v>1.87E8</v>
      </c>
      <c r="I53" s="2"/>
    </row>
    <row r="54">
      <c r="A54" s="5">
        <v>44643.0</v>
      </c>
      <c r="B54" s="6">
        <v>10.28</v>
      </c>
      <c r="C54" s="6">
        <v>10.34</v>
      </c>
      <c r="D54" s="6">
        <v>10.18</v>
      </c>
      <c r="E54" s="6">
        <v>10.2</v>
      </c>
      <c r="F54" s="6">
        <v>8.624878</v>
      </c>
      <c r="G54" s="6">
        <v>7.0938863E7</v>
      </c>
      <c r="I54" s="2"/>
    </row>
    <row r="55">
      <c r="A55" s="5">
        <v>44644.0</v>
      </c>
      <c r="B55" s="6">
        <v>10.36</v>
      </c>
      <c r="C55" s="6">
        <v>10.6</v>
      </c>
      <c r="D55" s="6">
        <v>10.32</v>
      </c>
      <c r="E55" s="6">
        <v>10.34</v>
      </c>
      <c r="F55" s="6">
        <v>8.743258</v>
      </c>
      <c r="G55" s="7">
        <v>1.43E8</v>
      </c>
      <c r="I55" s="2"/>
    </row>
    <row r="56">
      <c r="A56" s="5">
        <v>44645.0</v>
      </c>
      <c r="B56" s="6">
        <v>10.26</v>
      </c>
      <c r="C56" s="6">
        <v>10.54</v>
      </c>
      <c r="D56" s="6">
        <v>10.2</v>
      </c>
      <c r="E56" s="6">
        <v>10.26</v>
      </c>
      <c r="F56" s="6">
        <v>8.675612</v>
      </c>
      <c r="G56" s="6">
        <v>7.4161159E7</v>
      </c>
      <c r="I56" s="2"/>
    </row>
    <row r="57">
      <c r="A57" s="5">
        <v>44648.0</v>
      </c>
      <c r="B57" s="6">
        <v>10.38</v>
      </c>
      <c r="C57" s="6">
        <v>10.8</v>
      </c>
      <c r="D57" s="6">
        <v>10.36</v>
      </c>
      <c r="E57" s="6">
        <v>10.64</v>
      </c>
      <c r="F57" s="6">
        <v>8.996931</v>
      </c>
      <c r="G57" s="7">
        <v>2.16E8</v>
      </c>
      <c r="I57" s="2"/>
    </row>
    <row r="58">
      <c r="A58" s="5">
        <v>44649.0</v>
      </c>
      <c r="B58" s="6">
        <v>10.7</v>
      </c>
      <c r="C58" s="6">
        <v>11.02</v>
      </c>
      <c r="D58" s="6">
        <v>10.5</v>
      </c>
      <c r="E58" s="6">
        <v>10.92</v>
      </c>
      <c r="F58" s="6">
        <v>9.233692</v>
      </c>
      <c r="G58" s="7">
        <v>1.85E8</v>
      </c>
      <c r="I58" s="2"/>
    </row>
    <row r="59">
      <c r="A59" s="5">
        <v>44650.0</v>
      </c>
      <c r="B59" s="6">
        <v>10.92</v>
      </c>
      <c r="C59" s="6">
        <v>11.2</v>
      </c>
      <c r="D59" s="6">
        <v>10.84</v>
      </c>
      <c r="E59" s="6">
        <v>11.12</v>
      </c>
      <c r="F59" s="6">
        <v>9.402808</v>
      </c>
      <c r="G59" s="7">
        <v>1.77E8</v>
      </c>
      <c r="I59" s="2"/>
    </row>
    <row r="60">
      <c r="A60" s="5">
        <v>44651.0</v>
      </c>
      <c r="B60" s="6">
        <v>10.82</v>
      </c>
      <c r="C60" s="6">
        <v>11.08</v>
      </c>
      <c r="D60" s="6">
        <v>10.7</v>
      </c>
      <c r="E60" s="6">
        <v>10.74</v>
      </c>
      <c r="F60" s="6">
        <v>9.081489</v>
      </c>
      <c r="G60" s="7">
        <v>1.18E8</v>
      </c>
      <c r="I60" s="2"/>
    </row>
    <row r="61">
      <c r="A61" s="5">
        <v>44652.0</v>
      </c>
      <c r="B61" s="6">
        <v>10.56</v>
      </c>
      <c r="C61" s="6">
        <v>11.02</v>
      </c>
      <c r="D61" s="6">
        <v>10.5</v>
      </c>
      <c r="E61" s="6">
        <v>10.94</v>
      </c>
      <c r="F61" s="6">
        <v>9.250604</v>
      </c>
      <c r="G61" s="6">
        <v>9.3961726E7</v>
      </c>
      <c r="I61" s="2"/>
    </row>
    <row r="62">
      <c r="A62" s="5">
        <v>44655.0</v>
      </c>
      <c r="B62" s="6">
        <v>11.1</v>
      </c>
      <c r="C62" s="6">
        <v>11.18</v>
      </c>
      <c r="D62" s="6">
        <v>10.94</v>
      </c>
      <c r="E62" s="6">
        <v>11.12</v>
      </c>
      <c r="F62" s="6">
        <v>9.402808</v>
      </c>
      <c r="G62" s="6">
        <v>5.5142867E7</v>
      </c>
      <c r="I62" s="2"/>
    </row>
    <row r="63">
      <c r="A63" s="5">
        <v>44657.0</v>
      </c>
      <c r="B63" s="6">
        <v>11.12</v>
      </c>
      <c r="C63" s="6">
        <v>11.84</v>
      </c>
      <c r="D63" s="6">
        <v>11.1</v>
      </c>
      <c r="E63" s="6">
        <v>11.7</v>
      </c>
      <c r="F63" s="6">
        <v>9.893242</v>
      </c>
      <c r="G63" s="7">
        <v>2.75E8</v>
      </c>
      <c r="I63" s="2"/>
    </row>
    <row r="64">
      <c r="A64" s="5">
        <v>44658.0</v>
      </c>
      <c r="B64" s="6">
        <v>11.52</v>
      </c>
      <c r="C64" s="6">
        <v>11.82</v>
      </c>
      <c r="D64" s="6">
        <v>11.22</v>
      </c>
      <c r="E64" s="6">
        <v>11.36</v>
      </c>
      <c r="F64" s="6">
        <v>9.605745</v>
      </c>
      <c r="G64" s="7">
        <v>1.88E8</v>
      </c>
      <c r="I64" s="2"/>
    </row>
    <row r="65">
      <c r="A65" s="5">
        <v>44659.0</v>
      </c>
      <c r="B65" s="6">
        <v>11.32</v>
      </c>
      <c r="C65" s="6">
        <v>11.78</v>
      </c>
      <c r="D65" s="6">
        <v>11.32</v>
      </c>
      <c r="E65" s="6">
        <v>11.66</v>
      </c>
      <c r="F65" s="6">
        <v>9.859419</v>
      </c>
      <c r="G65" s="7">
        <v>1.54E8</v>
      </c>
      <c r="I65" s="2"/>
    </row>
    <row r="66">
      <c r="A66" s="5">
        <v>44662.0</v>
      </c>
      <c r="B66" s="6">
        <v>11.4</v>
      </c>
      <c r="C66" s="6">
        <v>11.72</v>
      </c>
      <c r="D66" s="6">
        <v>11.14</v>
      </c>
      <c r="E66" s="6">
        <v>11.16</v>
      </c>
      <c r="F66" s="6">
        <v>9.436631</v>
      </c>
      <c r="G66" s="7">
        <v>1.63E8</v>
      </c>
      <c r="I66" s="2"/>
    </row>
    <row r="67">
      <c r="A67" s="5">
        <v>44663.0</v>
      </c>
      <c r="B67" s="6">
        <v>11.18</v>
      </c>
      <c r="C67" s="6">
        <v>11.28</v>
      </c>
      <c r="D67" s="6">
        <v>10.7</v>
      </c>
      <c r="E67" s="6">
        <v>11.06</v>
      </c>
      <c r="F67" s="6">
        <v>9.352074</v>
      </c>
      <c r="G67" s="7">
        <v>1.61E8</v>
      </c>
      <c r="I67" s="2"/>
    </row>
    <row r="68">
      <c r="A68" s="5">
        <v>44664.0</v>
      </c>
      <c r="B68" s="6">
        <v>11.26</v>
      </c>
      <c r="C68" s="6">
        <v>11.64</v>
      </c>
      <c r="D68" s="6">
        <v>11.18</v>
      </c>
      <c r="E68" s="6">
        <v>11.46</v>
      </c>
      <c r="F68" s="6">
        <v>9.690304</v>
      </c>
      <c r="G68" s="7">
        <v>1.71E8</v>
      </c>
      <c r="I68" s="2"/>
    </row>
    <row r="69">
      <c r="A69" s="5">
        <v>44665.0</v>
      </c>
      <c r="B69" s="6">
        <v>11.56</v>
      </c>
      <c r="C69" s="6">
        <v>11.78</v>
      </c>
      <c r="D69" s="6">
        <v>11.54</v>
      </c>
      <c r="E69" s="6">
        <v>11.56</v>
      </c>
      <c r="F69" s="6">
        <v>9.774862</v>
      </c>
      <c r="G69" s="7">
        <v>1.05E8</v>
      </c>
      <c r="I69" s="2"/>
    </row>
    <row r="70">
      <c r="A70" s="5">
        <v>44670.0</v>
      </c>
      <c r="B70" s="6">
        <v>11.52</v>
      </c>
      <c r="C70" s="6">
        <v>11.82</v>
      </c>
      <c r="D70" s="6">
        <v>11.38</v>
      </c>
      <c r="E70" s="6">
        <v>11.64</v>
      </c>
      <c r="F70" s="6">
        <v>9.842507</v>
      </c>
      <c r="G70" s="7">
        <v>1.23E8</v>
      </c>
      <c r="I70" s="2"/>
    </row>
    <row r="71">
      <c r="A71" s="5">
        <v>44671.0</v>
      </c>
      <c r="B71" s="6">
        <v>11.4</v>
      </c>
      <c r="C71" s="6">
        <v>11.54</v>
      </c>
      <c r="D71" s="6">
        <v>11.08</v>
      </c>
      <c r="E71" s="6">
        <v>11.16</v>
      </c>
      <c r="F71" s="6">
        <v>9.436631</v>
      </c>
      <c r="G71" s="7">
        <v>1.46E8</v>
      </c>
      <c r="I71" s="2"/>
    </row>
    <row r="72">
      <c r="A72" s="5">
        <v>44672.0</v>
      </c>
      <c r="B72" s="6">
        <v>11.22</v>
      </c>
      <c r="C72" s="6">
        <v>11.64</v>
      </c>
      <c r="D72" s="6">
        <v>10.7</v>
      </c>
      <c r="E72" s="6">
        <v>10.88</v>
      </c>
      <c r="F72" s="6">
        <v>9.19987</v>
      </c>
      <c r="G72" s="7">
        <v>2.4E8</v>
      </c>
      <c r="I72" s="2"/>
    </row>
    <row r="73">
      <c r="A73" s="5">
        <v>44673.0</v>
      </c>
      <c r="B73" s="6">
        <v>10.62</v>
      </c>
      <c r="C73" s="6">
        <v>11.22</v>
      </c>
      <c r="D73" s="6">
        <v>10.6</v>
      </c>
      <c r="E73" s="6">
        <v>11.0</v>
      </c>
      <c r="F73" s="6">
        <v>9.301339</v>
      </c>
      <c r="G73" s="7">
        <v>1.4E8</v>
      </c>
      <c r="I73" s="2"/>
    </row>
    <row r="74">
      <c r="A74" s="5">
        <v>44676.0</v>
      </c>
      <c r="B74" s="6">
        <v>10.8</v>
      </c>
      <c r="C74" s="6">
        <v>10.82</v>
      </c>
      <c r="D74" s="6">
        <v>10.06</v>
      </c>
      <c r="E74" s="6">
        <v>10.2</v>
      </c>
      <c r="F74" s="6">
        <v>8.624878</v>
      </c>
      <c r="G74" s="7">
        <v>2.57E8</v>
      </c>
      <c r="I74" s="2"/>
    </row>
    <row r="75">
      <c r="A75" s="5">
        <v>44677.0</v>
      </c>
      <c r="B75" s="6">
        <v>10.12</v>
      </c>
      <c r="C75" s="6">
        <v>10.22</v>
      </c>
      <c r="D75" s="6">
        <v>9.72</v>
      </c>
      <c r="E75" s="6">
        <v>9.8</v>
      </c>
      <c r="F75" s="6">
        <v>8.286647</v>
      </c>
      <c r="G75" s="7">
        <v>2.11E8</v>
      </c>
      <c r="I75" s="2"/>
    </row>
    <row r="76">
      <c r="A76" s="5">
        <v>44678.0</v>
      </c>
      <c r="B76" s="6">
        <v>9.94</v>
      </c>
      <c r="C76" s="6">
        <v>10.62</v>
      </c>
      <c r="D76" s="6">
        <v>9.71</v>
      </c>
      <c r="E76" s="6">
        <v>10.46</v>
      </c>
      <c r="F76" s="6">
        <v>8.844728</v>
      </c>
      <c r="G76" s="7">
        <v>2.34E8</v>
      </c>
      <c r="I76" s="2"/>
    </row>
    <row r="77">
      <c r="A77" s="5">
        <v>44679.0</v>
      </c>
      <c r="B77" s="6">
        <v>10.5</v>
      </c>
      <c r="C77" s="6">
        <v>10.9</v>
      </c>
      <c r="D77" s="6">
        <v>10.3</v>
      </c>
      <c r="E77" s="6">
        <v>10.84</v>
      </c>
      <c r="F77" s="6">
        <v>9.166047</v>
      </c>
      <c r="G77" s="7">
        <v>1.11E8</v>
      </c>
      <c r="I77" s="2"/>
    </row>
    <row r="78">
      <c r="A78" s="5">
        <v>44680.0</v>
      </c>
      <c r="B78" s="6">
        <v>11.56</v>
      </c>
      <c r="C78" s="6">
        <v>11.64</v>
      </c>
      <c r="D78" s="6">
        <v>11.14</v>
      </c>
      <c r="E78" s="6">
        <v>11.22</v>
      </c>
      <c r="F78" s="6">
        <v>9.487366</v>
      </c>
      <c r="G78" s="7">
        <v>2.02E8</v>
      </c>
      <c r="I78" s="2"/>
    </row>
    <row r="79">
      <c r="A79" s="5">
        <v>44684.0</v>
      </c>
      <c r="B79" s="6">
        <v>11.18</v>
      </c>
      <c r="C79" s="6">
        <v>11.22</v>
      </c>
      <c r="D79" s="6">
        <v>10.94</v>
      </c>
      <c r="E79" s="6">
        <v>11.1</v>
      </c>
      <c r="F79" s="6">
        <v>9.385897</v>
      </c>
      <c r="G79" s="6">
        <v>6.6834781E7</v>
      </c>
      <c r="I79" s="2"/>
    </row>
    <row r="80">
      <c r="A80" s="5">
        <v>44685.0</v>
      </c>
      <c r="B80" s="6">
        <v>11.08</v>
      </c>
      <c r="C80" s="6">
        <v>11.16</v>
      </c>
      <c r="D80" s="6">
        <v>10.92</v>
      </c>
      <c r="E80" s="6">
        <v>10.94</v>
      </c>
      <c r="F80" s="6">
        <v>9.250604</v>
      </c>
      <c r="G80" s="6">
        <v>5.3091108E7</v>
      </c>
      <c r="I80" s="2"/>
    </row>
    <row r="81">
      <c r="A81" s="5">
        <v>44686.0</v>
      </c>
      <c r="B81" s="6">
        <v>11.2</v>
      </c>
      <c r="C81" s="6">
        <v>11.32</v>
      </c>
      <c r="D81" s="6">
        <v>11.02</v>
      </c>
      <c r="E81" s="6">
        <v>11.02</v>
      </c>
      <c r="F81" s="6">
        <v>9.318251</v>
      </c>
      <c r="G81" s="7">
        <v>1.64E8</v>
      </c>
      <c r="I81" s="2"/>
    </row>
    <row r="82">
      <c r="A82" s="5">
        <v>44687.0</v>
      </c>
      <c r="B82" s="6">
        <v>10.88</v>
      </c>
      <c r="C82" s="6">
        <v>11.18</v>
      </c>
      <c r="D82" s="6">
        <v>10.84</v>
      </c>
      <c r="E82" s="6">
        <v>10.9</v>
      </c>
      <c r="F82" s="6">
        <v>9.216781</v>
      </c>
      <c r="G82" s="7">
        <v>1.09E8</v>
      </c>
      <c r="I82" s="2"/>
    </row>
    <row r="83">
      <c r="A83" s="5">
        <v>44691.0</v>
      </c>
      <c r="B83" s="6">
        <v>10.22</v>
      </c>
      <c r="C83" s="6">
        <v>10.58</v>
      </c>
      <c r="D83" s="6">
        <v>10.2</v>
      </c>
      <c r="E83" s="6">
        <v>10.52</v>
      </c>
      <c r="F83" s="6">
        <v>8.895462</v>
      </c>
      <c r="G83" s="7">
        <v>2.19E8</v>
      </c>
      <c r="I83" s="2"/>
    </row>
    <row r="84">
      <c r="A84" s="5">
        <v>44692.0</v>
      </c>
      <c r="B84" s="6">
        <v>10.4</v>
      </c>
      <c r="C84" s="6">
        <v>10.68</v>
      </c>
      <c r="D84" s="6">
        <v>10.36</v>
      </c>
      <c r="E84" s="6">
        <v>10.52</v>
      </c>
      <c r="F84" s="6">
        <v>8.895462</v>
      </c>
      <c r="G84" s="7">
        <v>1.04E8</v>
      </c>
      <c r="I84" s="2"/>
    </row>
    <row r="85">
      <c r="A85" s="5">
        <v>44693.0</v>
      </c>
      <c r="B85" s="6">
        <v>10.68</v>
      </c>
      <c r="C85" s="6">
        <v>10.78</v>
      </c>
      <c r="D85" s="6">
        <v>10.48</v>
      </c>
      <c r="E85" s="6">
        <v>10.52</v>
      </c>
      <c r="F85" s="6">
        <v>8.895462</v>
      </c>
      <c r="G85" s="7">
        <v>1.29E8</v>
      </c>
      <c r="I85" s="2"/>
    </row>
    <row r="86">
      <c r="A86" s="5">
        <v>44694.0</v>
      </c>
      <c r="B86" s="6">
        <v>10.68</v>
      </c>
      <c r="C86" s="6">
        <v>10.84</v>
      </c>
      <c r="D86" s="6">
        <v>10.62</v>
      </c>
      <c r="E86" s="6">
        <v>10.66</v>
      </c>
      <c r="F86" s="6">
        <v>9.013843</v>
      </c>
      <c r="G86" s="7">
        <v>1.22E8</v>
      </c>
      <c r="I86" s="2"/>
    </row>
    <row r="87">
      <c r="A87" s="5">
        <v>44697.0</v>
      </c>
      <c r="B87" s="6">
        <v>10.88</v>
      </c>
      <c r="C87" s="6">
        <v>10.9</v>
      </c>
      <c r="D87" s="6">
        <v>10.56</v>
      </c>
      <c r="E87" s="6">
        <v>10.68</v>
      </c>
      <c r="F87" s="6">
        <v>9.030754</v>
      </c>
      <c r="G87" s="7">
        <v>1.55E8</v>
      </c>
      <c r="I87" s="2"/>
    </row>
    <row r="88">
      <c r="A88" s="5">
        <v>44698.0</v>
      </c>
      <c r="B88" s="6">
        <v>10.84</v>
      </c>
      <c r="C88" s="6">
        <v>11.04</v>
      </c>
      <c r="D88" s="6">
        <v>10.8</v>
      </c>
      <c r="E88" s="6">
        <v>10.98</v>
      </c>
      <c r="F88" s="6">
        <v>9.284428</v>
      </c>
      <c r="G88" s="7">
        <v>1.63E8</v>
      </c>
      <c r="I88" s="2"/>
    </row>
    <row r="89">
      <c r="A89" s="5">
        <v>44699.0</v>
      </c>
      <c r="B89" s="6">
        <v>11.06</v>
      </c>
      <c r="C89" s="6">
        <v>11.24</v>
      </c>
      <c r="D89" s="6">
        <v>10.98</v>
      </c>
      <c r="E89" s="6">
        <v>11.08</v>
      </c>
      <c r="F89" s="6">
        <v>9.368984</v>
      </c>
      <c r="G89" s="7">
        <v>1.2E8</v>
      </c>
      <c r="I89" s="2"/>
    </row>
    <row r="90">
      <c r="A90" s="5">
        <v>44700.0</v>
      </c>
      <c r="B90" s="6">
        <v>10.82</v>
      </c>
      <c r="C90" s="6">
        <v>10.94</v>
      </c>
      <c r="D90" s="6">
        <v>10.72</v>
      </c>
      <c r="E90" s="6">
        <v>10.82</v>
      </c>
      <c r="F90" s="6">
        <v>9.149135</v>
      </c>
      <c r="G90" s="7">
        <v>1.54E8</v>
      </c>
      <c r="I90" s="2"/>
    </row>
    <row r="91">
      <c r="A91" s="5">
        <v>44701.0</v>
      </c>
      <c r="B91" s="6">
        <v>10.94</v>
      </c>
      <c r="C91" s="6">
        <v>11.24</v>
      </c>
      <c r="D91" s="6">
        <v>10.92</v>
      </c>
      <c r="E91" s="6">
        <v>11.14</v>
      </c>
      <c r="F91" s="6">
        <v>9.41972</v>
      </c>
      <c r="G91" s="7">
        <v>1.19E8</v>
      </c>
      <c r="I91" s="2"/>
    </row>
    <row r="92">
      <c r="A92" s="5">
        <v>44704.0</v>
      </c>
      <c r="B92" s="6">
        <v>11.18</v>
      </c>
      <c r="C92" s="6">
        <v>11.48</v>
      </c>
      <c r="D92" s="6">
        <v>11.18</v>
      </c>
      <c r="E92" s="6">
        <v>11.3</v>
      </c>
      <c r="F92" s="6">
        <v>9.555012</v>
      </c>
      <c r="G92" s="7">
        <v>1.31E8</v>
      </c>
      <c r="I92" s="2"/>
    </row>
    <row r="93">
      <c r="A93" s="5">
        <v>44705.0</v>
      </c>
      <c r="B93" s="6">
        <v>11.42</v>
      </c>
      <c r="C93" s="6">
        <v>11.46</v>
      </c>
      <c r="D93" s="6">
        <v>11.06</v>
      </c>
      <c r="E93" s="6">
        <v>11.22</v>
      </c>
      <c r="F93" s="6">
        <v>9.487366</v>
      </c>
      <c r="G93" s="7">
        <v>1.31E8</v>
      </c>
      <c r="I93" s="2"/>
    </row>
    <row r="94">
      <c r="A94" s="5">
        <v>44706.0</v>
      </c>
      <c r="B94" s="6">
        <v>11.28</v>
      </c>
      <c r="C94" s="6">
        <v>11.54</v>
      </c>
      <c r="D94" s="6">
        <v>11.26</v>
      </c>
      <c r="E94" s="6">
        <v>11.42</v>
      </c>
      <c r="F94" s="6">
        <v>9.656481</v>
      </c>
      <c r="G94" s="7">
        <v>1.5E8</v>
      </c>
      <c r="I94" s="2"/>
    </row>
    <row r="95">
      <c r="A95" s="5">
        <v>44707.0</v>
      </c>
      <c r="B95" s="6">
        <v>11.5</v>
      </c>
      <c r="C95" s="6">
        <v>11.64</v>
      </c>
      <c r="D95" s="6">
        <v>11.42</v>
      </c>
      <c r="E95" s="6">
        <v>11.6</v>
      </c>
      <c r="F95" s="6">
        <v>9.808685</v>
      </c>
      <c r="G95" s="7">
        <v>1.3E8</v>
      </c>
      <c r="I95" s="2"/>
    </row>
    <row r="96">
      <c r="A96" s="5">
        <v>44708.0</v>
      </c>
      <c r="B96" s="6">
        <v>11.76</v>
      </c>
      <c r="C96" s="6">
        <v>12.18</v>
      </c>
      <c r="D96" s="6">
        <v>11.76</v>
      </c>
      <c r="E96" s="6">
        <v>12.0</v>
      </c>
      <c r="F96" s="6">
        <v>10.14692</v>
      </c>
      <c r="G96" s="7">
        <v>2.7E8</v>
      </c>
      <c r="I96" s="2"/>
    </row>
    <row r="97">
      <c r="A97" s="5">
        <v>44712.0</v>
      </c>
      <c r="B97" s="6">
        <v>12.3</v>
      </c>
      <c r="C97" s="6">
        <v>12.54</v>
      </c>
      <c r="D97" s="6">
        <v>12.28</v>
      </c>
      <c r="E97" s="6">
        <v>12.42</v>
      </c>
      <c r="F97" s="6">
        <v>10.50206</v>
      </c>
      <c r="G97" s="7">
        <v>1.31E8</v>
      </c>
      <c r="I97" s="2"/>
    </row>
    <row r="98">
      <c r="A98" s="5">
        <v>44713.0</v>
      </c>
      <c r="B98" s="6">
        <v>12.24</v>
      </c>
      <c r="C98" s="6">
        <v>12.46</v>
      </c>
      <c r="D98" s="6">
        <v>12.14</v>
      </c>
      <c r="E98" s="6">
        <v>12.2</v>
      </c>
      <c r="F98" s="6">
        <v>10.31603</v>
      </c>
      <c r="G98" s="6">
        <v>9.8647767E7</v>
      </c>
      <c r="I98" s="2"/>
    </row>
    <row r="99">
      <c r="A99" s="5">
        <v>44714.0</v>
      </c>
      <c r="B99" s="6">
        <v>12.04</v>
      </c>
      <c r="C99" s="6">
        <v>12.12</v>
      </c>
      <c r="D99" s="6">
        <v>11.88</v>
      </c>
      <c r="E99" s="6">
        <v>12.04</v>
      </c>
      <c r="F99" s="6">
        <v>10.18074</v>
      </c>
      <c r="G99" s="7">
        <v>1.09E8</v>
      </c>
      <c r="I99" s="2"/>
    </row>
    <row r="100">
      <c r="A100" s="5">
        <v>44718.0</v>
      </c>
      <c r="B100" s="6">
        <v>12.32</v>
      </c>
      <c r="C100" s="6">
        <v>12.42</v>
      </c>
      <c r="D100" s="6">
        <v>12.14</v>
      </c>
      <c r="E100" s="6">
        <v>12.2</v>
      </c>
      <c r="F100" s="6">
        <v>10.31603</v>
      </c>
      <c r="G100" s="7">
        <v>1.22E8</v>
      </c>
      <c r="I100" s="2"/>
    </row>
    <row r="101">
      <c r="A101" s="5">
        <v>44719.0</v>
      </c>
      <c r="B101" s="6">
        <v>12.18</v>
      </c>
      <c r="C101" s="6">
        <v>12.26</v>
      </c>
      <c r="D101" s="6">
        <v>12.06</v>
      </c>
      <c r="E101" s="6">
        <v>12.1</v>
      </c>
      <c r="F101" s="6">
        <v>10.23147</v>
      </c>
      <c r="G101" s="7">
        <v>1.44E8</v>
      </c>
      <c r="I101" s="2"/>
    </row>
    <row r="102">
      <c r="A102" s="5">
        <v>44720.0</v>
      </c>
      <c r="B102" s="6">
        <v>12.2</v>
      </c>
      <c r="C102" s="6">
        <v>12.42</v>
      </c>
      <c r="D102" s="6">
        <v>12.16</v>
      </c>
      <c r="E102" s="6">
        <v>12.36</v>
      </c>
      <c r="F102" s="6">
        <v>10.45132</v>
      </c>
      <c r="G102" s="7">
        <v>2.48E8</v>
      </c>
      <c r="I102" s="2"/>
    </row>
    <row r="103">
      <c r="A103" s="5">
        <v>44721.0</v>
      </c>
      <c r="B103" s="6">
        <v>11.64</v>
      </c>
      <c r="C103" s="6">
        <v>11.64</v>
      </c>
      <c r="D103" s="6">
        <v>11.42</v>
      </c>
      <c r="E103" s="6">
        <v>11.42</v>
      </c>
      <c r="F103" s="6">
        <v>10.67568</v>
      </c>
      <c r="G103" s="7">
        <v>2.36E8</v>
      </c>
      <c r="I103" s="2"/>
    </row>
    <row r="104">
      <c r="A104" s="5">
        <v>44722.0</v>
      </c>
      <c r="B104" s="6">
        <v>11.32</v>
      </c>
      <c r="C104" s="6">
        <v>11.62</v>
      </c>
      <c r="D104" s="6">
        <v>11.26</v>
      </c>
      <c r="E104" s="6">
        <v>11.38</v>
      </c>
      <c r="F104" s="6">
        <v>10.63829</v>
      </c>
      <c r="G104" s="7">
        <v>1.38E8</v>
      </c>
      <c r="I104" s="2"/>
    </row>
    <row r="105">
      <c r="A105" s="5">
        <v>44725.0</v>
      </c>
      <c r="B105" s="6">
        <v>11.18</v>
      </c>
      <c r="C105" s="6">
        <v>11.36</v>
      </c>
      <c r="D105" s="6">
        <v>11.0</v>
      </c>
      <c r="E105" s="6">
        <v>11.28</v>
      </c>
      <c r="F105" s="6">
        <v>10.54481</v>
      </c>
      <c r="G105" s="7">
        <v>1.62E8</v>
      </c>
      <c r="I105" s="2"/>
    </row>
    <row r="106">
      <c r="A106" s="5">
        <v>44726.0</v>
      </c>
      <c r="B106" s="6">
        <v>11.14</v>
      </c>
      <c r="C106" s="6">
        <v>11.4</v>
      </c>
      <c r="D106" s="6">
        <v>11.08</v>
      </c>
      <c r="E106" s="6">
        <v>11.18</v>
      </c>
      <c r="F106" s="6">
        <v>10.45132</v>
      </c>
      <c r="G106" s="7">
        <v>1.31E8</v>
      </c>
      <c r="I106" s="2"/>
    </row>
    <row r="107">
      <c r="A107" s="5">
        <v>44727.0</v>
      </c>
      <c r="B107" s="6">
        <v>11.18</v>
      </c>
      <c r="C107" s="6">
        <v>11.34</v>
      </c>
      <c r="D107" s="6">
        <v>10.88</v>
      </c>
      <c r="E107" s="6">
        <v>11.02</v>
      </c>
      <c r="F107" s="6">
        <v>10.30175</v>
      </c>
      <c r="G107" s="7">
        <v>1.3E8</v>
      </c>
      <c r="I107" s="2"/>
    </row>
    <row r="108">
      <c r="A108" s="5">
        <v>44728.0</v>
      </c>
      <c r="B108" s="6">
        <v>10.96</v>
      </c>
      <c r="C108" s="6">
        <v>11.04</v>
      </c>
      <c r="D108" s="6">
        <v>10.5</v>
      </c>
      <c r="E108" s="6">
        <v>10.6</v>
      </c>
      <c r="F108" s="6">
        <v>9.909125</v>
      </c>
      <c r="G108" s="7">
        <v>2.07E8</v>
      </c>
      <c r="I108" s="2"/>
    </row>
    <row r="109">
      <c r="A109" s="5">
        <v>44729.0</v>
      </c>
      <c r="B109" s="6">
        <v>10.6</v>
      </c>
      <c r="C109" s="6">
        <v>10.78</v>
      </c>
      <c r="D109" s="6">
        <v>10.38</v>
      </c>
      <c r="E109" s="6">
        <v>10.52</v>
      </c>
      <c r="F109" s="6">
        <v>9.834339</v>
      </c>
      <c r="G109" s="7">
        <v>1.6E8</v>
      </c>
      <c r="I109" s="2"/>
    </row>
    <row r="110">
      <c r="A110" s="5">
        <v>44733.0</v>
      </c>
      <c r="B110" s="6">
        <v>10.22</v>
      </c>
      <c r="C110" s="6">
        <v>10.4</v>
      </c>
      <c r="D110" s="6">
        <v>10.08</v>
      </c>
      <c r="E110" s="6">
        <v>10.22</v>
      </c>
      <c r="F110" s="6">
        <v>9.553892</v>
      </c>
      <c r="G110" s="6">
        <v>8.8127334E7</v>
      </c>
      <c r="I110" s="2"/>
    </row>
    <row r="111">
      <c r="A111" s="5">
        <v>44734.0</v>
      </c>
      <c r="B111" s="6">
        <v>10.24</v>
      </c>
      <c r="C111" s="6">
        <v>10.3</v>
      </c>
      <c r="D111" s="6">
        <v>9.8</v>
      </c>
      <c r="E111" s="6">
        <v>9.83</v>
      </c>
      <c r="F111" s="6">
        <v>9.189311</v>
      </c>
      <c r="G111" s="7">
        <v>1.8E8</v>
      </c>
      <c r="I111" s="2"/>
    </row>
    <row r="112">
      <c r="A112" s="5">
        <v>44735.0</v>
      </c>
      <c r="B112" s="6">
        <v>9.89</v>
      </c>
      <c r="C112" s="6">
        <v>10.1</v>
      </c>
      <c r="D112" s="6">
        <v>9.84</v>
      </c>
      <c r="E112" s="6">
        <v>10.0</v>
      </c>
      <c r="F112" s="6">
        <v>9.348231</v>
      </c>
      <c r="G112" s="7">
        <v>1.27E8</v>
      </c>
      <c r="I112" s="2"/>
    </row>
    <row r="113">
      <c r="A113" s="5">
        <v>44736.0</v>
      </c>
      <c r="B113" s="6">
        <v>9.96</v>
      </c>
      <c r="C113" s="6">
        <v>10.06</v>
      </c>
      <c r="D113" s="6">
        <v>9.76</v>
      </c>
      <c r="E113" s="6">
        <v>9.86</v>
      </c>
      <c r="F113" s="6">
        <v>9.217356</v>
      </c>
      <c r="G113" s="7">
        <v>1.89E8</v>
      </c>
      <c r="I113" s="2"/>
    </row>
    <row r="114">
      <c r="A114" s="5">
        <v>44739.0</v>
      </c>
      <c r="B114" s="6">
        <v>9.95</v>
      </c>
      <c r="C114" s="6">
        <v>10.18</v>
      </c>
      <c r="D114" s="6">
        <v>9.92</v>
      </c>
      <c r="E114" s="6">
        <v>10.12</v>
      </c>
      <c r="F114" s="6">
        <v>9.460409</v>
      </c>
      <c r="G114" s="7">
        <v>1.15E8</v>
      </c>
      <c r="I114" s="2"/>
    </row>
    <row r="115">
      <c r="A115" s="5">
        <v>44740.0</v>
      </c>
      <c r="B115" s="6">
        <v>10.36</v>
      </c>
      <c r="C115" s="6">
        <v>10.54</v>
      </c>
      <c r="D115" s="6">
        <v>10.3</v>
      </c>
      <c r="E115" s="6">
        <v>10.48</v>
      </c>
      <c r="F115" s="6">
        <v>9.796946</v>
      </c>
      <c r="G115" s="7">
        <v>1.44E8</v>
      </c>
      <c r="I115" s="2"/>
    </row>
    <row r="116">
      <c r="A116" s="5">
        <v>44741.0</v>
      </c>
      <c r="B116" s="6">
        <v>10.5</v>
      </c>
      <c r="C116" s="6">
        <v>10.7</v>
      </c>
      <c r="D116" s="6">
        <v>10.36</v>
      </c>
      <c r="E116" s="6">
        <v>10.44</v>
      </c>
      <c r="F116" s="6">
        <v>9.759553</v>
      </c>
      <c r="G116" s="6">
        <v>9.8753145E7</v>
      </c>
      <c r="I116" s="2"/>
    </row>
    <row r="117">
      <c r="A117" s="5">
        <v>44742.0</v>
      </c>
      <c r="B117" s="6">
        <v>10.3</v>
      </c>
      <c r="C117" s="6">
        <v>10.54</v>
      </c>
      <c r="D117" s="6">
        <v>10.26</v>
      </c>
      <c r="E117" s="6">
        <v>10.36</v>
      </c>
      <c r="F117" s="6">
        <v>9.684767</v>
      </c>
      <c r="G117" s="7">
        <v>1.1E8</v>
      </c>
      <c r="I117" s="2"/>
    </row>
    <row r="118">
      <c r="A118" s="5">
        <v>44747.0</v>
      </c>
      <c r="B118" s="6">
        <v>10.46</v>
      </c>
      <c r="C118" s="6">
        <v>10.6</v>
      </c>
      <c r="D118" s="6">
        <v>10.36</v>
      </c>
      <c r="E118" s="6">
        <v>10.4</v>
      </c>
      <c r="F118" s="6">
        <v>9.722159</v>
      </c>
      <c r="G118" s="6">
        <v>8.563463E7</v>
      </c>
      <c r="I118" s="2"/>
    </row>
    <row r="119">
      <c r="A119" s="5">
        <v>44748.0</v>
      </c>
      <c r="B119" s="6">
        <v>9.99</v>
      </c>
      <c r="C119" s="6">
        <v>10.14</v>
      </c>
      <c r="D119" s="6">
        <v>9.77</v>
      </c>
      <c r="E119" s="6">
        <v>9.9</v>
      </c>
      <c r="F119" s="6">
        <v>9.254748</v>
      </c>
      <c r="G119" s="7">
        <v>2.4E8</v>
      </c>
      <c r="I119" s="2"/>
    </row>
    <row r="120">
      <c r="A120" s="5">
        <v>44749.0</v>
      </c>
      <c r="B120" s="6">
        <v>9.74</v>
      </c>
      <c r="C120" s="6">
        <v>9.87</v>
      </c>
      <c r="D120" s="6">
        <v>9.68</v>
      </c>
      <c r="E120" s="6">
        <v>9.84</v>
      </c>
      <c r="F120" s="6">
        <v>9.198659</v>
      </c>
      <c r="G120" s="7">
        <v>1.24E8</v>
      </c>
      <c r="I120" s="2"/>
    </row>
    <row r="121">
      <c r="A121" s="5">
        <v>44750.0</v>
      </c>
      <c r="B121" s="6">
        <v>10.0</v>
      </c>
      <c r="C121" s="6">
        <v>10.06</v>
      </c>
      <c r="D121" s="6">
        <v>9.88</v>
      </c>
      <c r="E121" s="6">
        <v>9.89</v>
      </c>
      <c r="F121" s="6">
        <v>9.2454</v>
      </c>
      <c r="G121" s="6">
        <v>7.425194E7</v>
      </c>
      <c r="I121" s="2"/>
    </row>
    <row r="122">
      <c r="A122" s="5">
        <v>44753.0</v>
      </c>
      <c r="B122" s="6">
        <v>9.9</v>
      </c>
      <c r="C122" s="6">
        <v>9.92</v>
      </c>
      <c r="D122" s="6">
        <v>9.74</v>
      </c>
      <c r="E122" s="6">
        <v>9.84</v>
      </c>
      <c r="F122" s="6">
        <v>9.198659</v>
      </c>
      <c r="G122" s="6">
        <v>5.3471169E7</v>
      </c>
      <c r="I122" s="2"/>
    </row>
    <row r="123">
      <c r="A123" s="5">
        <v>44754.0</v>
      </c>
      <c r="B123" s="6">
        <v>9.85</v>
      </c>
      <c r="C123" s="6">
        <v>9.94</v>
      </c>
      <c r="D123" s="6">
        <v>9.8</v>
      </c>
      <c r="E123" s="6">
        <v>9.8</v>
      </c>
      <c r="F123" s="6">
        <v>9.161266</v>
      </c>
      <c r="G123" s="6">
        <v>3.2362971E7</v>
      </c>
      <c r="I123" s="2"/>
    </row>
    <row r="124">
      <c r="A124" s="5">
        <v>44755.0</v>
      </c>
      <c r="B124" s="6">
        <v>9.66</v>
      </c>
      <c r="C124" s="6">
        <v>9.69</v>
      </c>
      <c r="D124" s="6">
        <v>9.49</v>
      </c>
      <c r="E124" s="6">
        <v>9.58</v>
      </c>
      <c r="F124" s="6">
        <v>8.955606</v>
      </c>
      <c r="G124" s="7">
        <v>1.23E8</v>
      </c>
      <c r="I124" s="2"/>
    </row>
    <row r="125">
      <c r="A125" s="5">
        <v>44756.0</v>
      </c>
      <c r="B125" s="6">
        <v>9.68</v>
      </c>
      <c r="C125" s="6">
        <v>9.68</v>
      </c>
      <c r="D125" s="6">
        <v>9.39</v>
      </c>
      <c r="E125" s="6">
        <v>9.47</v>
      </c>
      <c r="F125" s="6">
        <v>8.852775</v>
      </c>
      <c r="G125" s="6">
        <v>6.838013E7</v>
      </c>
      <c r="I125" s="2"/>
    </row>
    <row r="126">
      <c r="A126" s="5">
        <v>44757.0</v>
      </c>
      <c r="B126" s="6">
        <v>9.53</v>
      </c>
      <c r="C126" s="6">
        <v>9.59</v>
      </c>
      <c r="D126" s="6">
        <v>9.22</v>
      </c>
      <c r="E126" s="6">
        <v>9.32</v>
      </c>
      <c r="F126" s="6">
        <v>8.712551</v>
      </c>
      <c r="G126" s="7">
        <v>1.3E8</v>
      </c>
      <c r="I126" s="2"/>
    </row>
    <row r="127">
      <c r="A127" s="5">
        <v>44760.0</v>
      </c>
      <c r="B127" s="6">
        <v>9.47</v>
      </c>
      <c r="C127" s="6">
        <v>9.88</v>
      </c>
      <c r="D127" s="6">
        <v>9.43</v>
      </c>
      <c r="E127" s="6">
        <v>9.85</v>
      </c>
      <c r="F127" s="6">
        <v>9.208008</v>
      </c>
      <c r="G127" s="7">
        <v>1.15E8</v>
      </c>
      <c r="I127" s="2"/>
    </row>
    <row r="128">
      <c r="A128" s="5">
        <v>44761.0</v>
      </c>
      <c r="B128" s="6">
        <v>9.9</v>
      </c>
      <c r="C128" s="6">
        <v>10.02</v>
      </c>
      <c r="D128" s="6">
        <v>9.82</v>
      </c>
      <c r="E128" s="6">
        <v>9.96</v>
      </c>
      <c r="F128" s="6">
        <v>9.310838</v>
      </c>
      <c r="G128" s="7">
        <v>1.18E8</v>
      </c>
      <c r="I128" s="2"/>
    </row>
    <row r="129">
      <c r="A129" s="5">
        <v>44762.0</v>
      </c>
      <c r="B129" s="6">
        <v>10.02</v>
      </c>
      <c r="C129" s="6">
        <v>10.1</v>
      </c>
      <c r="D129" s="6">
        <v>9.98</v>
      </c>
      <c r="E129" s="6">
        <v>10.0</v>
      </c>
      <c r="F129" s="6">
        <v>9.348231</v>
      </c>
      <c r="G129" s="6">
        <v>7.4116218E7</v>
      </c>
      <c r="I129" s="2"/>
    </row>
    <row r="130">
      <c r="A130" s="5">
        <v>44763.0</v>
      </c>
      <c r="B130" s="6">
        <v>10.0</v>
      </c>
      <c r="C130" s="6">
        <v>10.0</v>
      </c>
      <c r="D130" s="6">
        <v>9.76</v>
      </c>
      <c r="E130" s="6">
        <v>9.79</v>
      </c>
      <c r="F130" s="6">
        <v>9.151918</v>
      </c>
      <c r="G130" s="6">
        <v>6.9030935E7</v>
      </c>
      <c r="I130" s="2"/>
    </row>
    <row r="131">
      <c r="A131" s="5">
        <v>44764.0</v>
      </c>
      <c r="B131" s="6">
        <v>9.78</v>
      </c>
      <c r="C131" s="6">
        <v>9.97</v>
      </c>
      <c r="D131" s="6">
        <v>9.78</v>
      </c>
      <c r="E131" s="6">
        <v>9.85</v>
      </c>
      <c r="F131" s="6">
        <v>9.208008</v>
      </c>
      <c r="G131" s="6">
        <v>5.1616933E7</v>
      </c>
      <c r="I131" s="2"/>
    </row>
    <row r="132">
      <c r="A132" s="5">
        <v>44767.0</v>
      </c>
      <c r="B132" s="6">
        <v>9.84</v>
      </c>
      <c r="C132" s="6">
        <v>9.95</v>
      </c>
      <c r="D132" s="6">
        <v>9.7</v>
      </c>
      <c r="E132" s="6">
        <v>9.77</v>
      </c>
      <c r="F132" s="6">
        <v>9.133222</v>
      </c>
      <c r="G132" s="6">
        <v>4.8259675E7</v>
      </c>
      <c r="I132" s="2"/>
    </row>
    <row r="133">
      <c r="A133" s="5">
        <v>44768.0</v>
      </c>
      <c r="B133" s="6">
        <v>9.89</v>
      </c>
      <c r="C133" s="6">
        <v>10.1</v>
      </c>
      <c r="D133" s="6">
        <v>9.89</v>
      </c>
      <c r="E133" s="6">
        <v>10.0</v>
      </c>
      <c r="F133" s="6">
        <v>9.348231</v>
      </c>
      <c r="G133" s="6">
        <v>7.5038603E7</v>
      </c>
      <c r="I133" s="2"/>
    </row>
    <row r="134">
      <c r="A134" s="5">
        <v>44769.0</v>
      </c>
      <c r="B134" s="6">
        <v>9.91</v>
      </c>
      <c r="C134" s="6">
        <v>10.06</v>
      </c>
      <c r="D134" s="6">
        <v>9.85</v>
      </c>
      <c r="E134" s="6">
        <v>9.94</v>
      </c>
      <c r="F134" s="6">
        <v>9.292141</v>
      </c>
      <c r="G134" s="6">
        <v>5.7034036E7</v>
      </c>
      <c r="I134" s="2"/>
    </row>
    <row r="135">
      <c r="A135" s="5">
        <v>44770.0</v>
      </c>
      <c r="B135" s="6">
        <v>10.08</v>
      </c>
      <c r="C135" s="6">
        <v>10.16</v>
      </c>
      <c r="D135" s="6">
        <v>9.99</v>
      </c>
      <c r="E135" s="6">
        <v>10.1</v>
      </c>
      <c r="F135" s="6">
        <v>9.441713</v>
      </c>
      <c r="G135" s="6">
        <v>9.1811101E7</v>
      </c>
      <c r="I135" s="2"/>
    </row>
    <row r="136">
      <c r="A136" s="5">
        <v>44771.0</v>
      </c>
      <c r="B136" s="6">
        <v>10.2</v>
      </c>
      <c r="C136" s="6">
        <v>10.2</v>
      </c>
      <c r="D136" s="6">
        <v>9.86</v>
      </c>
      <c r="E136" s="6">
        <v>10.0</v>
      </c>
      <c r="F136" s="6">
        <v>9.348231</v>
      </c>
      <c r="G136" s="6">
        <v>7.3353426E7</v>
      </c>
      <c r="I136" s="2"/>
    </row>
    <row r="137">
      <c r="A137" s="5">
        <v>44774.0</v>
      </c>
      <c r="B137" s="6">
        <v>10.1</v>
      </c>
      <c r="C137" s="6">
        <v>10.14</v>
      </c>
      <c r="D137" s="6">
        <v>9.93</v>
      </c>
      <c r="E137" s="6">
        <v>10.04</v>
      </c>
      <c r="F137" s="6">
        <v>9.385624</v>
      </c>
      <c r="G137" s="6">
        <v>4.7219002E7</v>
      </c>
      <c r="I137" s="2"/>
    </row>
    <row r="138">
      <c r="A138" s="5">
        <v>44775.0</v>
      </c>
      <c r="B138" s="6">
        <v>9.8</v>
      </c>
      <c r="C138" s="6">
        <v>9.8</v>
      </c>
      <c r="D138" s="6">
        <v>9.66</v>
      </c>
      <c r="E138" s="6">
        <v>9.75</v>
      </c>
      <c r="F138" s="6">
        <v>9.114525</v>
      </c>
      <c r="G138" s="6">
        <v>8.878214E7</v>
      </c>
      <c r="I138" s="2"/>
    </row>
    <row r="139">
      <c r="A139" s="5">
        <v>44776.0</v>
      </c>
      <c r="B139" s="6">
        <v>9.76</v>
      </c>
      <c r="C139" s="6">
        <v>9.82</v>
      </c>
      <c r="D139" s="6">
        <v>9.61</v>
      </c>
      <c r="E139" s="6">
        <v>9.67</v>
      </c>
      <c r="F139" s="6">
        <v>9.03974</v>
      </c>
      <c r="G139" s="6">
        <v>4.7687882E7</v>
      </c>
      <c r="I139" s="2"/>
    </row>
    <row r="140">
      <c r="A140" s="5">
        <v>44777.0</v>
      </c>
      <c r="B140" s="6">
        <v>9.63</v>
      </c>
      <c r="C140" s="6">
        <v>9.74</v>
      </c>
      <c r="D140" s="6">
        <v>9.61</v>
      </c>
      <c r="E140" s="6">
        <v>9.63</v>
      </c>
      <c r="F140" s="6">
        <v>9.002347</v>
      </c>
      <c r="G140" s="6">
        <v>4.0576711E7</v>
      </c>
      <c r="I140" s="2"/>
    </row>
    <row r="141">
      <c r="A141" s="5">
        <v>44778.0</v>
      </c>
      <c r="B141" s="6">
        <v>9.59</v>
      </c>
      <c r="C141" s="6">
        <v>9.59</v>
      </c>
      <c r="D141" s="6">
        <v>9.33</v>
      </c>
      <c r="E141" s="6">
        <v>9.51</v>
      </c>
      <c r="F141" s="6">
        <v>8.890168</v>
      </c>
      <c r="G141" s="7">
        <v>1.13E8</v>
      </c>
      <c r="I141" s="2"/>
    </row>
    <row r="142">
      <c r="A142" s="5">
        <v>44781.0</v>
      </c>
      <c r="B142" s="6">
        <v>9.45</v>
      </c>
      <c r="C142" s="6">
        <v>9.72</v>
      </c>
      <c r="D142" s="6">
        <v>9.42</v>
      </c>
      <c r="E142" s="6">
        <v>9.63</v>
      </c>
      <c r="F142" s="6">
        <v>9.002347</v>
      </c>
      <c r="G142" s="6">
        <v>3.9163399E7</v>
      </c>
      <c r="I142" s="2"/>
    </row>
    <row r="143">
      <c r="A143" s="5">
        <v>44782.0</v>
      </c>
      <c r="B143" s="6">
        <v>9.64</v>
      </c>
      <c r="C143" s="6">
        <v>9.82</v>
      </c>
      <c r="D143" s="6">
        <v>9.63</v>
      </c>
      <c r="E143" s="6">
        <v>9.66</v>
      </c>
      <c r="F143" s="6">
        <v>9.030391</v>
      </c>
      <c r="G143" s="6">
        <v>5.2052936E7</v>
      </c>
      <c r="I143" s="2"/>
    </row>
    <row r="144">
      <c r="A144" s="5">
        <v>44783.0</v>
      </c>
      <c r="B144" s="6">
        <v>9.7</v>
      </c>
      <c r="C144" s="6">
        <v>9.78</v>
      </c>
      <c r="D144" s="6">
        <v>9.52</v>
      </c>
      <c r="E144" s="6">
        <v>9.57</v>
      </c>
      <c r="F144" s="6">
        <v>8.946257</v>
      </c>
      <c r="G144" s="6">
        <v>4.8987469E7</v>
      </c>
      <c r="I144" s="2"/>
    </row>
    <row r="145">
      <c r="A145" s="5">
        <v>44784.0</v>
      </c>
      <c r="B145" s="6">
        <v>9.65</v>
      </c>
      <c r="C145" s="6">
        <v>9.84</v>
      </c>
      <c r="D145" s="6">
        <v>9.64</v>
      </c>
      <c r="E145" s="6">
        <v>9.76</v>
      </c>
      <c r="F145" s="6">
        <v>9.123874</v>
      </c>
      <c r="G145" s="6">
        <v>4.7141969E7</v>
      </c>
      <c r="I145" s="2"/>
    </row>
    <row r="146">
      <c r="A146" s="5">
        <v>44785.0</v>
      </c>
      <c r="B146" s="6">
        <v>9.85</v>
      </c>
      <c r="C146" s="6">
        <v>10.08</v>
      </c>
      <c r="D146" s="6">
        <v>9.84</v>
      </c>
      <c r="E146" s="6">
        <v>10.0</v>
      </c>
      <c r="F146" s="6">
        <v>9.348231</v>
      </c>
      <c r="G146" s="6">
        <v>7.8881746E7</v>
      </c>
      <c r="I146" s="2"/>
    </row>
    <row r="147">
      <c r="A147" s="5">
        <v>44788.0</v>
      </c>
      <c r="B147" s="6">
        <v>9.88</v>
      </c>
      <c r="C147" s="6">
        <v>9.97</v>
      </c>
      <c r="D147" s="6">
        <v>9.77</v>
      </c>
      <c r="E147" s="6">
        <v>9.85</v>
      </c>
      <c r="F147" s="6">
        <v>9.208008</v>
      </c>
      <c r="G147" s="6">
        <v>6.2526166E7</v>
      </c>
      <c r="I147" s="2"/>
    </row>
    <row r="148">
      <c r="A148" s="5">
        <v>44789.0</v>
      </c>
      <c r="B148" s="6">
        <v>9.79</v>
      </c>
      <c r="C148" s="6">
        <v>9.79</v>
      </c>
      <c r="D148" s="6">
        <v>9.55</v>
      </c>
      <c r="E148" s="6">
        <v>9.58</v>
      </c>
      <c r="F148" s="6">
        <v>8.955606</v>
      </c>
      <c r="G148" s="6">
        <v>9.1936843E7</v>
      </c>
      <c r="I148" s="2"/>
    </row>
    <row r="149">
      <c r="A149" s="5">
        <v>44790.0</v>
      </c>
      <c r="B149" s="6">
        <v>9.6</v>
      </c>
      <c r="C149" s="6">
        <v>9.7</v>
      </c>
      <c r="D149" s="6">
        <v>9.56</v>
      </c>
      <c r="E149" s="6">
        <v>9.65</v>
      </c>
      <c r="F149" s="6">
        <v>9.021043</v>
      </c>
      <c r="G149" s="6">
        <v>5.4582672E7</v>
      </c>
      <c r="I149" s="2"/>
    </row>
    <row r="150">
      <c r="A150" s="5">
        <v>44791.0</v>
      </c>
      <c r="B150" s="6">
        <v>9.72</v>
      </c>
      <c r="C150" s="6">
        <v>9.72</v>
      </c>
      <c r="D150" s="6">
        <v>9.58</v>
      </c>
      <c r="E150" s="6">
        <v>9.59</v>
      </c>
      <c r="F150" s="6">
        <v>8.964953</v>
      </c>
      <c r="G150" s="6">
        <v>3.3933075E7</v>
      </c>
      <c r="I150" s="2"/>
    </row>
    <row r="151">
      <c r="A151" s="5">
        <v>44792.0</v>
      </c>
      <c r="B151" s="6">
        <v>9.67</v>
      </c>
      <c r="C151" s="6">
        <v>9.82</v>
      </c>
      <c r="D151" s="6">
        <v>9.67</v>
      </c>
      <c r="E151" s="6">
        <v>9.68</v>
      </c>
      <c r="F151" s="6">
        <v>9.049088</v>
      </c>
      <c r="G151" s="6">
        <v>5.0987667E7</v>
      </c>
      <c r="I151" s="2"/>
    </row>
    <row r="152">
      <c r="A152" s="5">
        <v>44795.0</v>
      </c>
      <c r="B152" s="6">
        <v>9.65</v>
      </c>
      <c r="C152" s="6">
        <v>9.91</v>
      </c>
      <c r="D152" s="6">
        <v>9.65</v>
      </c>
      <c r="E152" s="6">
        <v>9.83</v>
      </c>
      <c r="F152" s="6">
        <v>9.189311</v>
      </c>
      <c r="G152" s="6">
        <v>5.8023468E7</v>
      </c>
      <c r="I152" s="2"/>
    </row>
    <row r="153">
      <c r="A153" s="5">
        <v>44796.0</v>
      </c>
      <c r="B153" s="6">
        <v>9.88</v>
      </c>
      <c r="C153" s="6">
        <v>10.22</v>
      </c>
      <c r="D153" s="6">
        <v>9.87</v>
      </c>
      <c r="E153" s="6">
        <v>10.16</v>
      </c>
      <c r="F153" s="6">
        <v>9.497803</v>
      </c>
      <c r="G153" s="7">
        <v>1.4E8</v>
      </c>
      <c r="I153" s="2"/>
    </row>
    <row r="154">
      <c r="A154" s="5">
        <v>44797.0</v>
      </c>
      <c r="B154" s="6">
        <v>10.3</v>
      </c>
      <c r="C154" s="6">
        <v>10.48</v>
      </c>
      <c r="D154" s="6">
        <v>10.28</v>
      </c>
      <c r="E154" s="6">
        <v>10.32</v>
      </c>
      <c r="F154" s="6">
        <v>9.647374</v>
      </c>
      <c r="G154" s="7">
        <v>1.28E8</v>
      </c>
      <c r="I154" s="2"/>
    </row>
    <row r="155">
      <c r="A155" s="5">
        <v>44798.0</v>
      </c>
      <c r="B155" s="6">
        <v>10.3</v>
      </c>
      <c r="C155" s="6">
        <v>10.92</v>
      </c>
      <c r="D155" s="6">
        <v>10.3</v>
      </c>
      <c r="E155" s="6">
        <v>10.82</v>
      </c>
      <c r="F155" s="6">
        <v>10.11479</v>
      </c>
      <c r="G155" s="7">
        <v>2.14E8</v>
      </c>
      <c r="I155" s="2"/>
    </row>
    <row r="156">
      <c r="A156" s="5">
        <v>44799.0</v>
      </c>
      <c r="B156" s="6">
        <v>10.88</v>
      </c>
      <c r="C156" s="6">
        <v>10.9</v>
      </c>
      <c r="D156" s="6">
        <v>10.62</v>
      </c>
      <c r="E156" s="6">
        <v>10.7</v>
      </c>
      <c r="F156" s="6">
        <v>10.00261</v>
      </c>
      <c r="G156" s="7">
        <v>1.59E8</v>
      </c>
      <c r="I156" s="2"/>
    </row>
    <row r="157">
      <c r="A157" s="5">
        <v>44802.0</v>
      </c>
      <c r="B157" s="6">
        <v>10.54</v>
      </c>
      <c r="C157" s="6">
        <v>10.98</v>
      </c>
      <c r="D157" s="6">
        <v>10.54</v>
      </c>
      <c r="E157" s="6">
        <v>10.86</v>
      </c>
      <c r="F157" s="6">
        <v>10.15218</v>
      </c>
      <c r="G157" s="7">
        <v>1.46E8</v>
      </c>
      <c r="I157" s="2"/>
    </row>
    <row r="158">
      <c r="A158" s="5">
        <v>44803.0</v>
      </c>
      <c r="B158" s="6">
        <v>11.0</v>
      </c>
      <c r="C158" s="6">
        <v>11.02</v>
      </c>
      <c r="D158" s="6">
        <v>10.8</v>
      </c>
      <c r="E158" s="6">
        <v>10.88</v>
      </c>
      <c r="F158" s="6">
        <v>10.17088</v>
      </c>
      <c r="G158" s="7">
        <v>1.0E8</v>
      </c>
      <c r="I158" s="2"/>
    </row>
    <row r="159">
      <c r="A159" s="5">
        <v>44804.0</v>
      </c>
      <c r="B159" s="6">
        <v>10.64</v>
      </c>
      <c r="C159" s="6">
        <v>10.78</v>
      </c>
      <c r="D159" s="6">
        <v>10.5</v>
      </c>
      <c r="E159" s="6">
        <v>10.64</v>
      </c>
      <c r="F159" s="6">
        <v>9.946518</v>
      </c>
      <c r="G159" s="7">
        <v>1.13E8</v>
      </c>
      <c r="I159" s="2"/>
    </row>
    <row r="160">
      <c r="A160" s="5">
        <v>44805.0</v>
      </c>
      <c r="B160" s="6">
        <v>10.56</v>
      </c>
      <c r="C160" s="6">
        <v>10.74</v>
      </c>
      <c r="D160" s="6">
        <v>10.44</v>
      </c>
      <c r="E160" s="6">
        <v>10.58</v>
      </c>
      <c r="F160" s="6">
        <v>9.890429</v>
      </c>
      <c r="G160" s="7">
        <v>1.08E8</v>
      </c>
      <c r="I160" s="2"/>
    </row>
    <row r="161">
      <c r="A161" s="5">
        <v>44806.0</v>
      </c>
      <c r="B161" s="6">
        <v>10.5</v>
      </c>
      <c r="C161" s="6">
        <v>10.64</v>
      </c>
      <c r="D161" s="6">
        <v>10.42</v>
      </c>
      <c r="E161" s="6">
        <v>10.48</v>
      </c>
      <c r="F161" s="6">
        <v>9.796946</v>
      </c>
      <c r="G161" s="7">
        <v>1.1E8</v>
      </c>
      <c r="I161" s="2"/>
    </row>
    <row r="162">
      <c r="A162" s="5">
        <v>44810.0</v>
      </c>
      <c r="B162" s="6">
        <v>10.3</v>
      </c>
      <c r="C162" s="6">
        <v>10.38</v>
      </c>
      <c r="D162" s="6">
        <v>10.12</v>
      </c>
      <c r="E162" s="6">
        <v>10.12</v>
      </c>
      <c r="F162" s="6">
        <v>10.12</v>
      </c>
      <c r="G162" s="7">
        <v>1.42E8</v>
      </c>
      <c r="I162" s="2"/>
    </row>
    <row r="163">
      <c r="A163" s="5">
        <v>44811.0</v>
      </c>
      <c r="B163" s="6">
        <v>10.02</v>
      </c>
      <c r="C163" s="6">
        <v>10.06</v>
      </c>
      <c r="D163" s="6">
        <v>9.83</v>
      </c>
      <c r="E163" s="6">
        <v>9.93</v>
      </c>
      <c r="F163" s="6">
        <v>9.93</v>
      </c>
      <c r="G163" s="7">
        <v>1.4E8</v>
      </c>
      <c r="I163" s="2"/>
    </row>
    <row r="164">
      <c r="A164" s="5">
        <v>44812.0</v>
      </c>
      <c r="B164" s="6">
        <v>9.78</v>
      </c>
      <c r="C164" s="6">
        <v>9.78</v>
      </c>
      <c r="D164" s="6">
        <v>9.52</v>
      </c>
      <c r="E164" s="6">
        <v>9.57</v>
      </c>
      <c r="F164" s="6">
        <v>9.57</v>
      </c>
      <c r="G164" s="7">
        <v>1.5E8</v>
      </c>
      <c r="I164" s="2"/>
    </row>
    <row r="165">
      <c r="A165" s="5">
        <v>44813.0</v>
      </c>
      <c r="B165" s="6">
        <v>9.65</v>
      </c>
      <c r="C165" s="6">
        <v>9.84</v>
      </c>
      <c r="D165" s="6">
        <v>9.61</v>
      </c>
      <c r="E165" s="6">
        <v>9.77</v>
      </c>
      <c r="F165" s="6">
        <v>9.77</v>
      </c>
      <c r="G165" s="6">
        <v>7.5136065E7</v>
      </c>
      <c r="I165" s="2"/>
    </row>
    <row r="166">
      <c r="A166" s="5">
        <v>44817.0</v>
      </c>
      <c r="B166" s="6">
        <v>9.89</v>
      </c>
      <c r="C166" s="6">
        <v>10.04</v>
      </c>
      <c r="D166" s="6">
        <v>9.85</v>
      </c>
      <c r="E166" s="6">
        <v>9.94</v>
      </c>
      <c r="F166" s="6">
        <v>9.94</v>
      </c>
      <c r="G166" s="6">
        <v>8.019002E7</v>
      </c>
      <c r="I166" s="2"/>
    </row>
    <row r="167">
      <c r="A167" s="5">
        <v>44818.0</v>
      </c>
      <c r="B167" s="6">
        <v>9.9</v>
      </c>
      <c r="C167" s="6">
        <v>10.26</v>
      </c>
      <c r="D167" s="6">
        <v>9.88</v>
      </c>
      <c r="E167" s="6">
        <v>10.16</v>
      </c>
      <c r="F167" s="6">
        <v>10.16</v>
      </c>
      <c r="G167" s="7">
        <v>1.8E8</v>
      </c>
      <c r="I167" s="2"/>
    </row>
    <row r="168">
      <c r="A168" s="5">
        <v>44819.0</v>
      </c>
      <c r="B168" s="6">
        <v>10.26</v>
      </c>
      <c r="C168" s="6">
        <v>10.42</v>
      </c>
      <c r="D168" s="6">
        <v>10.12</v>
      </c>
      <c r="E168" s="6">
        <v>10.32</v>
      </c>
      <c r="F168" s="6">
        <v>10.32</v>
      </c>
      <c r="G168" s="7">
        <v>1.67E8</v>
      </c>
      <c r="I168" s="2"/>
    </row>
    <row r="169">
      <c r="A169" s="5">
        <v>44820.0</v>
      </c>
      <c r="B169" s="6">
        <v>10.12</v>
      </c>
      <c r="C169" s="6">
        <v>10.22</v>
      </c>
      <c r="D169" s="6">
        <v>10.04</v>
      </c>
      <c r="E169" s="6">
        <v>10.08</v>
      </c>
      <c r="F169" s="6">
        <v>10.08</v>
      </c>
      <c r="G169" s="7">
        <v>1.06E8</v>
      </c>
      <c r="I169" s="2"/>
    </row>
    <row r="170">
      <c r="A170" s="5">
        <v>44823.0</v>
      </c>
      <c r="B170" s="6">
        <v>10.06</v>
      </c>
      <c r="C170" s="6">
        <v>10.3</v>
      </c>
      <c r="D170" s="6">
        <v>9.99</v>
      </c>
      <c r="E170" s="6">
        <v>10.0</v>
      </c>
      <c r="F170" s="6">
        <v>10.0</v>
      </c>
      <c r="G170" s="7">
        <v>1.19E8</v>
      </c>
      <c r="I170" s="2"/>
    </row>
    <row r="171">
      <c r="A171" s="5">
        <v>44824.0</v>
      </c>
      <c r="B171" s="6">
        <v>10.16</v>
      </c>
      <c r="C171" s="6">
        <v>10.18</v>
      </c>
      <c r="D171" s="6">
        <v>10.06</v>
      </c>
      <c r="E171" s="6">
        <v>10.08</v>
      </c>
      <c r="F171" s="6">
        <v>10.08</v>
      </c>
      <c r="G171" s="6">
        <v>6.0046223E7</v>
      </c>
      <c r="I171" s="2"/>
    </row>
    <row r="172">
      <c r="A172" s="5">
        <v>44825.0</v>
      </c>
      <c r="B172" s="6">
        <v>10.04</v>
      </c>
      <c r="C172" s="6">
        <v>10.4</v>
      </c>
      <c r="D172" s="6">
        <v>9.98</v>
      </c>
      <c r="E172" s="6">
        <v>10.3</v>
      </c>
      <c r="F172" s="6">
        <v>10.3</v>
      </c>
      <c r="G172" s="6">
        <v>9.6595961E7</v>
      </c>
      <c r="I172" s="2"/>
    </row>
    <row r="173">
      <c r="A173" s="5">
        <v>44826.0</v>
      </c>
      <c r="B173" s="6">
        <v>10.1</v>
      </c>
      <c r="C173" s="6">
        <v>10.3</v>
      </c>
      <c r="D173" s="6">
        <v>10.08</v>
      </c>
      <c r="E173" s="6">
        <v>10.22</v>
      </c>
      <c r="F173" s="6">
        <v>10.22</v>
      </c>
      <c r="G173" s="7">
        <v>1.06E8</v>
      </c>
      <c r="I173" s="2"/>
    </row>
    <row r="174">
      <c r="A174" s="5">
        <v>44827.0</v>
      </c>
      <c r="B174" s="6">
        <v>10.22</v>
      </c>
      <c r="C174" s="6">
        <v>10.48</v>
      </c>
      <c r="D174" s="6">
        <v>10.16</v>
      </c>
      <c r="E174" s="6">
        <v>10.22</v>
      </c>
      <c r="F174" s="6">
        <v>10.22</v>
      </c>
      <c r="G174" s="7">
        <v>1.18E8</v>
      </c>
      <c r="I174" s="2"/>
    </row>
    <row r="175">
      <c r="A175" s="5">
        <v>44830.0</v>
      </c>
      <c r="B175" s="6">
        <v>9.98</v>
      </c>
      <c r="C175" s="6">
        <v>9.98</v>
      </c>
      <c r="D175" s="6">
        <v>9.53</v>
      </c>
      <c r="E175" s="6">
        <v>9.65</v>
      </c>
      <c r="F175" s="6">
        <v>9.65</v>
      </c>
      <c r="G175" s="7">
        <v>2.35E8</v>
      </c>
      <c r="I175" s="2"/>
    </row>
    <row r="176">
      <c r="A176" s="5">
        <v>44831.0</v>
      </c>
      <c r="B176" s="6">
        <v>9.63</v>
      </c>
      <c r="C176" s="6">
        <v>9.67</v>
      </c>
      <c r="D176" s="6">
        <v>9.49</v>
      </c>
      <c r="E176" s="6">
        <v>9.58</v>
      </c>
      <c r="F176" s="6">
        <v>9.58</v>
      </c>
      <c r="G176" s="6">
        <v>8.5709848E7</v>
      </c>
      <c r="I176" s="2"/>
    </row>
    <row r="177">
      <c r="A177" s="5">
        <v>44832.0</v>
      </c>
      <c r="B177" s="6">
        <v>9.58</v>
      </c>
      <c r="C177" s="6">
        <v>9.6</v>
      </c>
      <c r="D177" s="6">
        <v>9.33</v>
      </c>
      <c r="E177" s="6">
        <v>9.39</v>
      </c>
      <c r="F177" s="6">
        <v>9.39</v>
      </c>
      <c r="G177" s="6">
        <v>8.6045865E7</v>
      </c>
      <c r="I177" s="2"/>
    </row>
    <row r="178">
      <c r="A178" s="5">
        <v>44833.0</v>
      </c>
      <c r="B178" s="6">
        <v>9.64</v>
      </c>
      <c r="C178" s="6">
        <v>9.66</v>
      </c>
      <c r="D178" s="6">
        <v>9.24</v>
      </c>
      <c r="E178" s="6">
        <v>9.3</v>
      </c>
      <c r="F178" s="6">
        <v>9.3</v>
      </c>
      <c r="G178" s="6">
        <v>6.723084E7</v>
      </c>
      <c r="I178" s="2"/>
    </row>
    <row r="179">
      <c r="A179" s="5">
        <v>44834.0</v>
      </c>
      <c r="B179" s="6">
        <v>9.3</v>
      </c>
      <c r="C179" s="6">
        <v>9.48</v>
      </c>
      <c r="D179" s="6">
        <v>9.3</v>
      </c>
      <c r="E179" s="6">
        <v>9.41</v>
      </c>
      <c r="F179" s="6">
        <v>9.41</v>
      </c>
      <c r="G179" s="6">
        <v>3.6061653E7</v>
      </c>
      <c r="I179" s="2"/>
    </row>
    <row r="180">
      <c r="A180" s="5">
        <v>44837.0</v>
      </c>
      <c r="B180" s="6">
        <v>9.32</v>
      </c>
      <c r="C180" s="6">
        <v>9.52</v>
      </c>
      <c r="D180" s="6">
        <v>9.32</v>
      </c>
      <c r="E180" s="6">
        <v>9.48</v>
      </c>
      <c r="F180" s="6">
        <v>9.48</v>
      </c>
      <c r="G180" s="6">
        <v>3.2400322E7</v>
      </c>
      <c r="I180" s="2"/>
    </row>
    <row r="181">
      <c r="A181" s="5">
        <v>44839.0</v>
      </c>
      <c r="B181" s="6">
        <v>9.84</v>
      </c>
      <c r="C181" s="6">
        <v>9.87</v>
      </c>
      <c r="D181" s="6">
        <v>9.7</v>
      </c>
      <c r="E181" s="6">
        <v>9.77</v>
      </c>
      <c r="F181" s="6">
        <v>9.77</v>
      </c>
      <c r="G181" s="6">
        <v>5.1673842E7</v>
      </c>
      <c r="I181" s="2"/>
    </row>
    <row r="182">
      <c r="A182" s="5">
        <v>44840.0</v>
      </c>
      <c r="B182" s="6">
        <v>9.88</v>
      </c>
      <c r="C182" s="6">
        <v>9.93</v>
      </c>
      <c r="D182" s="6">
        <v>9.85</v>
      </c>
      <c r="E182" s="6">
        <v>9.89</v>
      </c>
      <c r="F182" s="6">
        <v>9.89</v>
      </c>
      <c r="G182" s="6">
        <v>2.9560075E7</v>
      </c>
      <c r="I182" s="2"/>
    </row>
    <row r="183">
      <c r="A183" s="5">
        <v>44841.0</v>
      </c>
      <c r="B183" s="6">
        <v>9.89</v>
      </c>
      <c r="C183" s="6">
        <v>10.0</v>
      </c>
      <c r="D183" s="6">
        <v>9.86</v>
      </c>
      <c r="E183" s="6">
        <v>9.9</v>
      </c>
      <c r="F183" s="6">
        <v>9.9</v>
      </c>
      <c r="G183" s="6">
        <v>2.3848139E7</v>
      </c>
      <c r="I183" s="2"/>
    </row>
    <row r="184">
      <c r="A184" s="5">
        <v>44844.0</v>
      </c>
      <c r="B184" s="6">
        <v>9.94</v>
      </c>
      <c r="C184" s="6">
        <v>10.14</v>
      </c>
      <c r="D184" s="6">
        <v>9.78</v>
      </c>
      <c r="E184" s="6">
        <v>9.83</v>
      </c>
      <c r="F184" s="6">
        <v>9.83</v>
      </c>
      <c r="G184" s="7">
        <v>1.26E8</v>
      </c>
      <c r="I184" s="2"/>
    </row>
    <row r="185">
      <c r="A185" s="5">
        <v>44845.0</v>
      </c>
      <c r="B185" s="6">
        <v>9.8</v>
      </c>
      <c r="C185" s="6">
        <v>9.83</v>
      </c>
      <c r="D185" s="6">
        <v>9.65</v>
      </c>
      <c r="E185" s="6">
        <v>9.68</v>
      </c>
      <c r="F185" s="6">
        <v>9.68</v>
      </c>
      <c r="G185" s="6">
        <v>5.7797135E7</v>
      </c>
      <c r="I185" s="2"/>
    </row>
    <row r="186">
      <c r="A186" s="5">
        <v>44846.0</v>
      </c>
      <c r="B186" s="6">
        <v>9.64</v>
      </c>
      <c r="C186" s="6">
        <v>9.68</v>
      </c>
      <c r="D186" s="6">
        <v>9.48</v>
      </c>
      <c r="E186" s="6">
        <v>9.58</v>
      </c>
      <c r="F186" s="6">
        <v>9.58</v>
      </c>
      <c r="G186" s="6">
        <v>8.1719145E7</v>
      </c>
      <c r="I186" s="2"/>
    </row>
    <row r="187">
      <c r="A187" s="5">
        <v>44847.0</v>
      </c>
      <c r="B187" s="6">
        <v>9.54</v>
      </c>
      <c r="C187" s="6">
        <v>9.61</v>
      </c>
      <c r="D187" s="6">
        <v>9.46</v>
      </c>
      <c r="E187" s="6">
        <v>9.52</v>
      </c>
      <c r="F187" s="6">
        <v>9.52</v>
      </c>
      <c r="G187" s="6">
        <v>4.3278651E7</v>
      </c>
      <c r="I187" s="2"/>
    </row>
    <row r="188">
      <c r="A188" s="5">
        <v>44848.0</v>
      </c>
      <c r="B188" s="6">
        <v>9.69</v>
      </c>
      <c r="C188" s="6">
        <v>9.79</v>
      </c>
      <c r="D188" s="6">
        <v>9.63</v>
      </c>
      <c r="E188" s="6">
        <v>9.66</v>
      </c>
      <c r="F188" s="6">
        <v>9.66</v>
      </c>
      <c r="G188" s="6">
        <v>7.5206694E7</v>
      </c>
      <c r="I188" s="2"/>
    </row>
    <row r="189">
      <c r="A189" s="5">
        <v>44851.0</v>
      </c>
      <c r="B189" s="6">
        <v>9.77</v>
      </c>
      <c r="C189" s="6">
        <v>9.89</v>
      </c>
      <c r="D189" s="6">
        <v>9.71</v>
      </c>
      <c r="E189" s="6">
        <v>9.84</v>
      </c>
      <c r="F189" s="6">
        <v>9.84</v>
      </c>
      <c r="G189" s="6">
        <v>7.6384014E7</v>
      </c>
      <c r="I189" s="2"/>
    </row>
    <row r="190">
      <c r="A190" s="5">
        <v>44852.0</v>
      </c>
      <c r="B190" s="6">
        <v>9.89</v>
      </c>
      <c r="C190" s="6">
        <v>9.92</v>
      </c>
      <c r="D190" s="6">
        <v>9.76</v>
      </c>
      <c r="E190" s="6">
        <v>9.89</v>
      </c>
      <c r="F190" s="6">
        <v>9.89</v>
      </c>
      <c r="G190" s="6">
        <v>4.5702399E7</v>
      </c>
      <c r="I190" s="2"/>
    </row>
    <row r="191">
      <c r="A191" s="5">
        <v>44853.0</v>
      </c>
      <c r="B191" s="6">
        <v>9.84</v>
      </c>
      <c r="C191" s="6">
        <v>9.9</v>
      </c>
      <c r="D191" s="6">
        <v>9.77</v>
      </c>
      <c r="E191" s="6">
        <v>9.85</v>
      </c>
      <c r="F191" s="6">
        <v>9.85</v>
      </c>
      <c r="G191" s="6">
        <v>3.8489061E7</v>
      </c>
      <c r="I191" s="2"/>
    </row>
    <row r="192">
      <c r="A192" s="5">
        <v>44854.0</v>
      </c>
      <c r="B192" s="6">
        <v>9.82</v>
      </c>
      <c r="C192" s="6">
        <v>9.95</v>
      </c>
      <c r="D192" s="6">
        <v>9.81</v>
      </c>
      <c r="E192" s="6">
        <v>9.88</v>
      </c>
      <c r="F192" s="6">
        <v>9.88</v>
      </c>
      <c r="G192" s="6">
        <v>5.7165424E7</v>
      </c>
      <c r="I192" s="2"/>
    </row>
    <row r="193">
      <c r="A193" s="5">
        <v>44855.0</v>
      </c>
      <c r="B193" s="6">
        <v>9.9</v>
      </c>
      <c r="C193" s="6">
        <v>10.04</v>
      </c>
      <c r="D193" s="6">
        <v>9.85</v>
      </c>
      <c r="E193" s="6">
        <v>9.95</v>
      </c>
      <c r="F193" s="6">
        <v>9.95</v>
      </c>
      <c r="G193" s="6">
        <v>5.500195E7</v>
      </c>
      <c r="I193" s="2"/>
    </row>
    <row r="194">
      <c r="A194" s="5">
        <v>44858.0</v>
      </c>
      <c r="B194" s="6">
        <v>9.95</v>
      </c>
      <c r="C194" s="6">
        <v>9.99</v>
      </c>
      <c r="D194" s="6">
        <v>9.66</v>
      </c>
      <c r="E194" s="6">
        <v>9.76</v>
      </c>
      <c r="F194" s="6">
        <v>9.76</v>
      </c>
      <c r="G194" s="6">
        <v>8.9069823E7</v>
      </c>
      <c r="I194" s="2"/>
    </row>
    <row r="195">
      <c r="A195" s="5">
        <v>44859.0</v>
      </c>
      <c r="B195" s="6">
        <v>9.73</v>
      </c>
      <c r="C195" s="6">
        <v>9.84</v>
      </c>
      <c r="D195" s="6">
        <v>9.58</v>
      </c>
      <c r="E195" s="6">
        <v>9.76</v>
      </c>
      <c r="F195" s="6">
        <v>9.76</v>
      </c>
      <c r="G195" s="6">
        <v>7.2909302E7</v>
      </c>
      <c r="I195" s="2"/>
    </row>
    <row r="196">
      <c r="A196" s="5">
        <v>44860.0</v>
      </c>
      <c r="B196" s="6">
        <v>9.74</v>
      </c>
      <c r="C196" s="6">
        <v>9.86</v>
      </c>
      <c r="D196" s="6">
        <v>9.64</v>
      </c>
      <c r="E196" s="6">
        <v>9.73</v>
      </c>
      <c r="F196" s="6">
        <v>9.73</v>
      </c>
      <c r="G196" s="6">
        <v>6.5258591E7</v>
      </c>
      <c r="I196" s="2"/>
    </row>
    <row r="197">
      <c r="A197" s="5">
        <v>44861.0</v>
      </c>
      <c r="B197" s="6">
        <v>9.86</v>
      </c>
      <c r="C197" s="6">
        <v>9.92</v>
      </c>
      <c r="D197" s="6">
        <v>9.77</v>
      </c>
      <c r="E197" s="6">
        <v>9.8</v>
      </c>
      <c r="F197" s="6">
        <v>9.8</v>
      </c>
      <c r="G197" s="6">
        <v>4.4538324E7</v>
      </c>
      <c r="I197" s="2"/>
    </row>
    <row r="198">
      <c r="A198" s="5">
        <v>44862.0</v>
      </c>
      <c r="B198" s="6">
        <v>9.85</v>
      </c>
      <c r="C198" s="6">
        <v>9.95</v>
      </c>
      <c r="D198" s="6">
        <v>9.69</v>
      </c>
      <c r="E198" s="6">
        <v>9.77</v>
      </c>
      <c r="F198" s="6">
        <v>9.77</v>
      </c>
      <c r="G198" s="6">
        <v>9.27941E7</v>
      </c>
      <c r="I198" s="2"/>
    </row>
    <row r="199">
      <c r="A199" s="5">
        <v>44865.0</v>
      </c>
      <c r="B199" s="6">
        <v>9.84</v>
      </c>
      <c r="C199" s="6">
        <v>9.85</v>
      </c>
      <c r="D199" s="6">
        <v>9.28</v>
      </c>
      <c r="E199" s="6">
        <v>9.36</v>
      </c>
      <c r="F199" s="6">
        <v>9.36</v>
      </c>
      <c r="G199" s="7">
        <v>1.6E8</v>
      </c>
      <c r="I199" s="2"/>
    </row>
    <row r="200">
      <c r="A200" s="5">
        <v>44866.0</v>
      </c>
      <c r="B200" s="6">
        <v>9.44</v>
      </c>
      <c r="C200" s="6">
        <v>9.81</v>
      </c>
      <c r="D200" s="6">
        <v>9.37</v>
      </c>
      <c r="E200" s="6">
        <v>9.67</v>
      </c>
      <c r="F200" s="6">
        <v>9.67</v>
      </c>
      <c r="G200" s="7">
        <v>1.12E8</v>
      </c>
      <c r="I200" s="2"/>
    </row>
    <row r="201">
      <c r="A201" s="5">
        <v>44867.0</v>
      </c>
      <c r="B201" s="6">
        <v>9.7</v>
      </c>
      <c r="C201" s="6">
        <v>9.92</v>
      </c>
      <c r="D201" s="6">
        <v>9.59</v>
      </c>
      <c r="E201" s="6">
        <v>9.88</v>
      </c>
      <c r="F201" s="6">
        <v>9.88</v>
      </c>
      <c r="G201" s="6">
        <v>7.3372603E7</v>
      </c>
      <c r="I201" s="2"/>
    </row>
    <row r="202">
      <c r="A202" s="5">
        <v>44868.0</v>
      </c>
      <c r="B202" s="6">
        <v>9.8</v>
      </c>
      <c r="C202" s="6">
        <v>9.86</v>
      </c>
      <c r="D202" s="6">
        <v>9.7</v>
      </c>
      <c r="E202" s="6">
        <v>9.72</v>
      </c>
      <c r="F202" s="6">
        <v>9.72</v>
      </c>
      <c r="G202" s="6">
        <v>6.4882566E7</v>
      </c>
      <c r="I202" s="2"/>
    </row>
    <row r="203">
      <c r="A203" s="5">
        <v>44869.0</v>
      </c>
      <c r="B203" s="6">
        <v>9.77</v>
      </c>
      <c r="C203" s="6">
        <v>10.0</v>
      </c>
      <c r="D203" s="6">
        <v>9.74</v>
      </c>
      <c r="E203" s="6">
        <v>9.88</v>
      </c>
      <c r="F203" s="6">
        <v>9.88</v>
      </c>
      <c r="G203" s="6">
        <v>9.6418197E7</v>
      </c>
      <c r="I203" s="2"/>
    </row>
    <row r="204">
      <c r="A204" s="5">
        <v>44872.0</v>
      </c>
      <c r="B204" s="6">
        <v>10.0</v>
      </c>
      <c r="C204" s="6">
        <v>10.32</v>
      </c>
      <c r="D204" s="6">
        <v>9.96</v>
      </c>
      <c r="E204" s="6">
        <v>10.14</v>
      </c>
      <c r="F204" s="6">
        <v>10.14</v>
      </c>
      <c r="G204" s="7">
        <v>1.44E8</v>
      </c>
      <c r="I204" s="2"/>
    </row>
    <row r="205">
      <c r="A205" s="5">
        <v>44873.0</v>
      </c>
      <c r="B205" s="6">
        <v>10.24</v>
      </c>
      <c r="C205" s="6">
        <v>10.3</v>
      </c>
      <c r="D205" s="6">
        <v>10.1</v>
      </c>
      <c r="E205" s="6">
        <v>10.2</v>
      </c>
      <c r="F205" s="6">
        <v>10.2</v>
      </c>
      <c r="G205" s="6">
        <v>6.8968656E7</v>
      </c>
      <c r="I205" s="2"/>
    </row>
    <row r="206">
      <c r="A206" s="5">
        <v>44874.0</v>
      </c>
      <c r="B206" s="6">
        <v>10.08</v>
      </c>
      <c r="C206" s="6">
        <v>10.28</v>
      </c>
      <c r="D206" s="6">
        <v>10.08</v>
      </c>
      <c r="E206" s="6">
        <v>10.18</v>
      </c>
      <c r="F206" s="6">
        <v>10.18</v>
      </c>
      <c r="G206" s="6">
        <v>7.1463747E7</v>
      </c>
      <c r="I206" s="2"/>
    </row>
    <row r="207">
      <c r="A207" s="5">
        <v>44875.0</v>
      </c>
      <c r="B207" s="6">
        <v>9.99</v>
      </c>
      <c r="C207" s="6">
        <v>10.14</v>
      </c>
      <c r="D207" s="6">
        <v>9.93</v>
      </c>
      <c r="E207" s="6">
        <v>10.1</v>
      </c>
      <c r="F207" s="6">
        <v>10.1</v>
      </c>
      <c r="G207" s="6">
        <v>6.256926E7</v>
      </c>
      <c r="I207" s="2"/>
    </row>
    <row r="208">
      <c r="A208" s="5">
        <v>44876.0</v>
      </c>
      <c r="B208" s="6">
        <v>10.3</v>
      </c>
      <c r="C208" s="6">
        <v>10.34</v>
      </c>
      <c r="D208" s="6">
        <v>10.18</v>
      </c>
      <c r="E208" s="6">
        <v>10.32</v>
      </c>
      <c r="F208" s="6">
        <v>10.32</v>
      </c>
      <c r="G208" s="6">
        <v>9.4683922E7</v>
      </c>
      <c r="I208" s="2"/>
    </row>
    <row r="209">
      <c r="A209" s="5">
        <v>44879.0</v>
      </c>
      <c r="B209" s="6">
        <v>10.38</v>
      </c>
      <c r="C209" s="6">
        <v>10.56</v>
      </c>
      <c r="D209" s="6">
        <v>10.22</v>
      </c>
      <c r="E209" s="6">
        <v>10.32</v>
      </c>
      <c r="F209" s="6">
        <v>10.32</v>
      </c>
      <c r="G209" s="7">
        <v>1.32E8</v>
      </c>
      <c r="I209" s="2"/>
    </row>
    <row r="210">
      <c r="A210" s="5">
        <v>44880.0</v>
      </c>
      <c r="B210" s="6">
        <v>10.28</v>
      </c>
      <c r="C210" s="6">
        <v>10.5</v>
      </c>
      <c r="D210" s="6">
        <v>10.22</v>
      </c>
      <c r="E210" s="6">
        <v>10.48</v>
      </c>
      <c r="F210" s="6">
        <v>10.48</v>
      </c>
      <c r="G210" s="7">
        <v>1.11E8</v>
      </c>
      <c r="I210" s="2"/>
    </row>
    <row r="211">
      <c r="A211" s="5">
        <v>44881.0</v>
      </c>
      <c r="B211" s="6">
        <v>10.48</v>
      </c>
      <c r="C211" s="6">
        <v>10.56</v>
      </c>
      <c r="D211" s="6">
        <v>10.42</v>
      </c>
      <c r="E211" s="6">
        <v>10.44</v>
      </c>
      <c r="F211" s="6">
        <v>10.44</v>
      </c>
      <c r="G211" s="7">
        <v>1.03E8</v>
      </c>
      <c r="I211" s="2"/>
    </row>
    <row r="212">
      <c r="A212" s="5">
        <v>44882.0</v>
      </c>
      <c r="B212" s="6">
        <v>10.36</v>
      </c>
      <c r="C212" s="6">
        <v>10.48</v>
      </c>
      <c r="D212" s="6">
        <v>10.26</v>
      </c>
      <c r="E212" s="6">
        <v>10.38</v>
      </c>
      <c r="F212" s="6">
        <v>10.38</v>
      </c>
      <c r="G212" s="6">
        <v>7.4263356E7</v>
      </c>
      <c r="I212" s="2"/>
    </row>
    <row r="213">
      <c r="A213" s="5">
        <v>44883.0</v>
      </c>
      <c r="B213" s="6">
        <v>10.28</v>
      </c>
      <c r="C213" s="6">
        <v>10.32</v>
      </c>
      <c r="D213" s="6">
        <v>10.14</v>
      </c>
      <c r="E213" s="6">
        <v>10.2</v>
      </c>
      <c r="F213" s="6">
        <v>10.2</v>
      </c>
      <c r="G213" s="6">
        <v>9.4974563E7</v>
      </c>
      <c r="I213" s="2"/>
    </row>
    <row r="214">
      <c r="A214" s="5">
        <v>44886.0</v>
      </c>
      <c r="B214" s="6">
        <v>10.1</v>
      </c>
      <c r="C214" s="6">
        <v>10.1</v>
      </c>
      <c r="D214" s="6">
        <v>9.9</v>
      </c>
      <c r="E214" s="6">
        <v>10.04</v>
      </c>
      <c r="F214" s="6">
        <v>10.04</v>
      </c>
      <c r="G214" s="6">
        <v>9.0907612E7</v>
      </c>
      <c r="I214" s="2"/>
    </row>
    <row r="215">
      <c r="A215" s="5">
        <v>44887.0</v>
      </c>
      <c r="B215" s="6">
        <v>10.04</v>
      </c>
      <c r="C215" s="6">
        <v>10.24</v>
      </c>
      <c r="D215" s="6">
        <v>9.91</v>
      </c>
      <c r="E215" s="6">
        <v>10.16</v>
      </c>
      <c r="F215" s="6">
        <v>10.16</v>
      </c>
      <c r="G215" s="6">
        <v>8.0018952E7</v>
      </c>
      <c r="I215" s="2"/>
    </row>
    <row r="216">
      <c r="A216" s="5">
        <v>44888.0</v>
      </c>
      <c r="B216" s="6">
        <v>10.2</v>
      </c>
      <c r="C216" s="6">
        <v>10.46</v>
      </c>
      <c r="D216" s="6">
        <v>10.14</v>
      </c>
      <c r="E216" s="6">
        <v>10.26</v>
      </c>
      <c r="F216" s="6">
        <v>10.26</v>
      </c>
      <c r="G216" s="6">
        <v>8.0232606E7</v>
      </c>
      <c r="I216" s="2"/>
    </row>
    <row r="217">
      <c r="A217" s="5">
        <v>44890.0</v>
      </c>
      <c r="B217" s="6">
        <v>10.2</v>
      </c>
      <c r="C217" s="6">
        <v>10.32</v>
      </c>
      <c r="D217" s="6">
        <v>10.16</v>
      </c>
      <c r="E217" s="6">
        <v>10.24</v>
      </c>
      <c r="F217" s="6">
        <v>10.24</v>
      </c>
      <c r="G217" s="6">
        <v>4.7871993E7</v>
      </c>
      <c r="I217" s="2"/>
    </row>
    <row r="218">
      <c r="A218" s="5">
        <v>44893.0</v>
      </c>
      <c r="B218" s="6">
        <v>10.0</v>
      </c>
      <c r="C218" s="6">
        <v>10.12</v>
      </c>
      <c r="D218" s="6">
        <v>9.92</v>
      </c>
      <c r="E218" s="6">
        <v>10.06</v>
      </c>
      <c r="F218" s="6">
        <v>10.06</v>
      </c>
      <c r="G218" s="6">
        <v>6.228825E7</v>
      </c>
      <c r="I218" s="2"/>
    </row>
    <row r="219">
      <c r="A219" s="5">
        <v>44894.0</v>
      </c>
      <c r="B219" s="6">
        <v>10.1</v>
      </c>
      <c r="C219" s="6">
        <v>10.18</v>
      </c>
      <c r="D219" s="6">
        <v>9.99</v>
      </c>
      <c r="E219" s="6">
        <v>10.18</v>
      </c>
      <c r="F219" s="6">
        <v>10.18</v>
      </c>
      <c r="G219" s="6">
        <v>7.709218E7</v>
      </c>
      <c r="I219" s="2"/>
    </row>
    <row r="220">
      <c r="A220" s="5">
        <v>44895.0</v>
      </c>
      <c r="B220" s="6">
        <v>10.18</v>
      </c>
      <c r="C220" s="6">
        <v>10.32</v>
      </c>
      <c r="D220" s="6">
        <v>10.08</v>
      </c>
      <c r="E220" s="6">
        <v>10.2</v>
      </c>
      <c r="F220" s="6">
        <v>10.2</v>
      </c>
      <c r="G220" s="6">
        <v>8.4910457E7</v>
      </c>
      <c r="I220" s="2"/>
    </row>
    <row r="221">
      <c r="A221" s="5">
        <v>44896.0</v>
      </c>
      <c r="B221" s="6">
        <v>10.28</v>
      </c>
      <c r="C221" s="6">
        <v>10.36</v>
      </c>
      <c r="D221" s="6">
        <v>10.02</v>
      </c>
      <c r="E221" s="6">
        <v>10.1</v>
      </c>
      <c r="F221" s="6">
        <v>10.1</v>
      </c>
      <c r="G221" s="6">
        <v>9.9057088E7</v>
      </c>
      <c r="I221" s="2"/>
    </row>
    <row r="222">
      <c r="A222" s="5">
        <v>44897.0</v>
      </c>
      <c r="B222" s="6">
        <v>10.18</v>
      </c>
      <c r="C222" s="6">
        <v>10.2</v>
      </c>
      <c r="D222" s="6">
        <v>9.96</v>
      </c>
      <c r="E222" s="6">
        <v>9.97</v>
      </c>
      <c r="F222" s="6">
        <v>9.97</v>
      </c>
      <c r="G222" s="6">
        <v>8.5529759E7</v>
      </c>
      <c r="I222" s="2"/>
    </row>
    <row r="223">
      <c r="A223" s="5">
        <v>44900.0</v>
      </c>
      <c r="B223" s="6">
        <v>10.12</v>
      </c>
      <c r="C223" s="6">
        <v>10.14</v>
      </c>
      <c r="D223" s="6">
        <v>9.96</v>
      </c>
      <c r="E223" s="6">
        <v>10.06</v>
      </c>
      <c r="F223" s="6">
        <v>10.06</v>
      </c>
      <c r="G223" s="7">
        <v>1.0E8</v>
      </c>
      <c r="I223" s="2"/>
    </row>
    <row r="224">
      <c r="A224" s="5">
        <v>44901.0</v>
      </c>
      <c r="B224" s="6">
        <v>9.97</v>
      </c>
      <c r="C224" s="6">
        <v>10.06</v>
      </c>
      <c r="D224" s="6">
        <v>9.93</v>
      </c>
      <c r="E224" s="6">
        <v>10.04</v>
      </c>
      <c r="F224" s="6">
        <v>10.04</v>
      </c>
      <c r="G224" s="6">
        <v>6.9246496E7</v>
      </c>
      <c r="I224" s="2"/>
    </row>
    <row r="225">
      <c r="A225" s="5">
        <v>44902.0</v>
      </c>
      <c r="B225" s="6">
        <v>9.91</v>
      </c>
      <c r="C225" s="6">
        <v>9.96</v>
      </c>
      <c r="D225" s="6">
        <v>9.74</v>
      </c>
      <c r="E225" s="6">
        <v>9.94</v>
      </c>
      <c r="F225" s="6">
        <v>9.94</v>
      </c>
      <c r="G225" s="7">
        <v>1.16E8</v>
      </c>
      <c r="I225" s="2"/>
    </row>
    <row r="226">
      <c r="A226" s="5">
        <v>44903.0</v>
      </c>
      <c r="B226" s="6">
        <v>9.87</v>
      </c>
      <c r="C226" s="6">
        <v>9.9</v>
      </c>
      <c r="D226" s="6">
        <v>9.76</v>
      </c>
      <c r="E226" s="6">
        <v>9.81</v>
      </c>
      <c r="F226" s="6">
        <v>9.81</v>
      </c>
      <c r="G226" s="6">
        <v>9.1784282E7</v>
      </c>
      <c r="I226" s="2"/>
    </row>
    <row r="227">
      <c r="A227" s="5">
        <v>44904.0</v>
      </c>
      <c r="B227" s="6">
        <v>9.74</v>
      </c>
      <c r="C227" s="6">
        <v>9.85</v>
      </c>
      <c r="D227" s="6">
        <v>9.74</v>
      </c>
      <c r="E227" s="6">
        <v>9.82</v>
      </c>
      <c r="F227" s="6">
        <v>9.82</v>
      </c>
      <c r="G227" s="6">
        <v>8.0501351E7</v>
      </c>
      <c r="I227" s="2"/>
    </row>
    <row r="228">
      <c r="A228" s="5">
        <v>44907.0</v>
      </c>
      <c r="B228" s="6">
        <v>9.79</v>
      </c>
      <c r="C228" s="6">
        <v>9.87</v>
      </c>
      <c r="D228" s="6">
        <v>9.74</v>
      </c>
      <c r="E228" s="6">
        <v>9.85</v>
      </c>
      <c r="F228" s="6">
        <v>9.85</v>
      </c>
      <c r="G228" s="6">
        <v>6.1227503E7</v>
      </c>
      <c r="I228" s="2"/>
    </row>
    <row r="229">
      <c r="A229" s="5">
        <v>44908.0</v>
      </c>
      <c r="B229" s="6">
        <v>9.93</v>
      </c>
      <c r="C229" s="6">
        <v>10.06</v>
      </c>
      <c r="D229" s="6">
        <v>9.89</v>
      </c>
      <c r="E229" s="6">
        <v>10.0</v>
      </c>
      <c r="F229" s="6">
        <v>10.0</v>
      </c>
      <c r="G229" s="6">
        <v>6.1668705E7</v>
      </c>
      <c r="I229" s="2"/>
    </row>
    <row r="230">
      <c r="A230" s="5">
        <v>44909.0</v>
      </c>
      <c r="B230" s="6">
        <v>10.02</v>
      </c>
      <c r="C230" s="6">
        <v>10.14</v>
      </c>
      <c r="D230" s="6">
        <v>10.02</v>
      </c>
      <c r="E230" s="6">
        <v>10.06</v>
      </c>
      <c r="F230" s="6">
        <v>10.06</v>
      </c>
      <c r="G230" s="6">
        <v>5.7153572E7</v>
      </c>
      <c r="I230" s="2"/>
    </row>
    <row r="231">
      <c r="A231" s="5">
        <v>44910.0</v>
      </c>
      <c r="B231" s="6">
        <v>10.06</v>
      </c>
      <c r="C231" s="6">
        <v>10.2</v>
      </c>
      <c r="D231" s="6">
        <v>9.99</v>
      </c>
      <c r="E231" s="6">
        <v>9.99</v>
      </c>
      <c r="F231" s="6">
        <v>9.99</v>
      </c>
      <c r="G231" s="6">
        <v>4.7007182E7</v>
      </c>
      <c r="I231" s="2"/>
    </row>
    <row r="232">
      <c r="A232" s="5">
        <v>44911.0</v>
      </c>
      <c r="B232" s="6">
        <v>10.0</v>
      </c>
      <c r="C232" s="6">
        <v>10.06</v>
      </c>
      <c r="D232" s="6">
        <v>9.9</v>
      </c>
      <c r="E232" s="6">
        <v>10.0</v>
      </c>
      <c r="F232" s="6">
        <v>10.0</v>
      </c>
      <c r="G232" s="6">
        <v>4.6726414E7</v>
      </c>
      <c r="I232" s="2"/>
    </row>
    <row r="233">
      <c r="A233" s="5">
        <v>44914.0</v>
      </c>
      <c r="B233" s="6">
        <v>9.97</v>
      </c>
      <c r="C233" s="6">
        <v>10.02</v>
      </c>
      <c r="D233" s="6">
        <v>9.81</v>
      </c>
      <c r="E233" s="6">
        <v>9.95</v>
      </c>
      <c r="F233" s="6">
        <v>9.95</v>
      </c>
      <c r="G233" s="6">
        <v>3.5155859E7</v>
      </c>
      <c r="I233" s="2"/>
    </row>
    <row r="234">
      <c r="A234" s="5">
        <v>44915.0</v>
      </c>
      <c r="B234" s="6">
        <v>9.9</v>
      </c>
      <c r="C234" s="6">
        <v>9.97</v>
      </c>
      <c r="D234" s="6">
        <v>9.82</v>
      </c>
      <c r="E234" s="6">
        <v>9.87</v>
      </c>
      <c r="F234" s="6">
        <v>9.87</v>
      </c>
      <c r="G234" s="6">
        <v>3.7155768E7</v>
      </c>
      <c r="I234" s="2"/>
    </row>
    <row r="235">
      <c r="A235" s="5">
        <v>44916.0</v>
      </c>
      <c r="B235" s="6">
        <v>9.88</v>
      </c>
      <c r="C235" s="6">
        <v>9.93</v>
      </c>
      <c r="D235" s="6">
        <v>9.71</v>
      </c>
      <c r="E235" s="6">
        <v>9.82</v>
      </c>
      <c r="F235" s="6">
        <v>9.82</v>
      </c>
      <c r="G235" s="6">
        <v>5.5304024E7</v>
      </c>
      <c r="I235" s="2"/>
    </row>
    <row r="236">
      <c r="A236" s="5">
        <v>44917.0</v>
      </c>
      <c r="B236" s="6">
        <v>9.92</v>
      </c>
      <c r="C236" s="6">
        <v>9.93</v>
      </c>
      <c r="D236" s="6">
        <v>9.77</v>
      </c>
      <c r="E236" s="6">
        <v>9.81</v>
      </c>
      <c r="F236" s="6">
        <v>9.81</v>
      </c>
      <c r="G236" s="6">
        <v>5.6627363E7</v>
      </c>
      <c r="I236" s="2"/>
    </row>
    <row r="237">
      <c r="A237" s="5">
        <v>44918.0</v>
      </c>
      <c r="B237" s="6">
        <v>9.79</v>
      </c>
      <c r="C237" s="6">
        <v>9.86</v>
      </c>
      <c r="D237" s="6">
        <v>9.75</v>
      </c>
      <c r="E237" s="6">
        <v>9.81</v>
      </c>
      <c r="F237" s="6">
        <v>9.81</v>
      </c>
      <c r="G237" s="6">
        <v>7.0938288E7</v>
      </c>
      <c r="I237" s="2"/>
    </row>
    <row r="238">
      <c r="A238" s="5">
        <v>44923.0</v>
      </c>
      <c r="B238" s="6">
        <v>9.91</v>
      </c>
      <c r="C238" s="6">
        <v>10.04</v>
      </c>
      <c r="D238" s="6">
        <v>9.91</v>
      </c>
      <c r="E238" s="6">
        <v>9.98</v>
      </c>
      <c r="F238" s="6">
        <v>9.98</v>
      </c>
      <c r="G238" s="6">
        <v>8.547512E7</v>
      </c>
      <c r="I238" s="2"/>
    </row>
    <row r="239">
      <c r="A239" s="5">
        <v>44924.0</v>
      </c>
      <c r="B239" s="6">
        <v>9.95</v>
      </c>
      <c r="C239" s="6">
        <v>9.97</v>
      </c>
      <c r="D239" s="6">
        <v>9.89</v>
      </c>
      <c r="E239" s="6">
        <v>9.94</v>
      </c>
      <c r="F239" s="6">
        <v>9.94</v>
      </c>
      <c r="G239" s="6">
        <v>6.7615779E7</v>
      </c>
      <c r="I239" s="2"/>
    </row>
    <row r="240">
      <c r="A240" s="5">
        <v>44925.0</v>
      </c>
      <c r="B240" s="6">
        <v>9.94</v>
      </c>
      <c r="C240" s="6">
        <v>10.06</v>
      </c>
      <c r="D240" s="6">
        <v>9.88</v>
      </c>
      <c r="E240" s="6">
        <v>9.98</v>
      </c>
      <c r="F240" s="6">
        <v>9.98</v>
      </c>
      <c r="G240" s="6">
        <v>4.6487265E7</v>
      </c>
      <c r="I24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 s="5">
        <v>44929.0</v>
      </c>
      <c r="B2" s="6">
        <v>10.0</v>
      </c>
      <c r="C2" s="6">
        <v>10.14</v>
      </c>
      <c r="D2" s="6">
        <v>9.87</v>
      </c>
      <c r="E2" s="6">
        <v>10.1</v>
      </c>
      <c r="F2" s="6">
        <v>10.1</v>
      </c>
      <c r="G2" s="6">
        <v>6.5916538E7</v>
      </c>
    </row>
    <row r="3">
      <c r="A3" s="5">
        <v>44930.0</v>
      </c>
      <c r="B3" s="6">
        <v>10.06</v>
      </c>
      <c r="C3" s="6">
        <v>10.18</v>
      </c>
      <c r="D3" s="6">
        <v>9.96</v>
      </c>
      <c r="E3" s="6">
        <v>10.04</v>
      </c>
      <c r="F3" s="6">
        <v>10.04</v>
      </c>
      <c r="G3" s="6">
        <v>8.0198729E7</v>
      </c>
    </row>
    <row r="4">
      <c r="A4" s="5">
        <v>44931.0</v>
      </c>
      <c r="B4" s="6">
        <v>9.98</v>
      </c>
      <c r="C4" s="6">
        <v>9.98</v>
      </c>
      <c r="D4" s="6">
        <v>9.86</v>
      </c>
      <c r="E4" s="6">
        <v>9.97</v>
      </c>
      <c r="F4" s="6">
        <v>9.97</v>
      </c>
      <c r="G4" s="6">
        <v>9.2914243E7</v>
      </c>
    </row>
    <row r="5">
      <c r="A5" s="5">
        <v>44932.0</v>
      </c>
      <c r="B5" s="6">
        <v>9.97</v>
      </c>
      <c r="C5" s="6">
        <v>10.08</v>
      </c>
      <c r="D5" s="6">
        <v>9.97</v>
      </c>
      <c r="E5" s="6">
        <v>10.0</v>
      </c>
      <c r="F5" s="6">
        <v>10.0</v>
      </c>
      <c r="G5" s="6">
        <v>4.936989E7</v>
      </c>
    </row>
    <row r="6">
      <c r="A6" s="5">
        <v>44935.0</v>
      </c>
      <c r="B6" s="6">
        <v>10.08</v>
      </c>
      <c r="C6" s="6">
        <v>10.08</v>
      </c>
      <c r="D6" s="6">
        <v>9.93</v>
      </c>
      <c r="E6" s="6">
        <v>9.95</v>
      </c>
      <c r="F6" s="6">
        <v>9.95</v>
      </c>
      <c r="G6" s="6">
        <v>7.6774545E7</v>
      </c>
    </row>
    <row r="7">
      <c r="A7" s="5">
        <v>44936.0</v>
      </c>
      <c r="B7" s="6">
        <v>9.94</v>
      </c>
      <c r="C7" s="6">
        <v>10.02</v>
      </c>
      <c r="D7" s="6">
        <v>9.89</v>
      </c>
      <c r="E7" s="6">
        <v>9.95</v>
      </c>
      <c r="F7" s="6">
        <v>9.95</v>
      </c>
      <c r="G7" s="6">
        <v>8.2963617E7</v>
      </c>
    </row>
    <row r="8">
      <c r="A8" s="5">
        <v>44937.0</v>
      </c>
      <c r="B8" s="6">
        <v>9.99</v>
      </c>
      <c r="C8" s="6">
        <v>10.2</v>
      </c>
      <c r="D8" s="6">
        <v>9.92</v>
      </c>
      <c r="E8" s="6">
        <v>10.1</v>
      </c>
      <c r="F8" s="6">
        <v>10.1</v>
      </c>
      <c r="G8" s="7">
        <v>1.24E8</v>
      </c>
    </row>
    <row r="9">
      <c r="A9" s="5">
        <v>44938.0</v>
      </c>
      <c r="B9" s="6">
        <v>10.24</v>
      </c>
      <c r="C9" s="6">
        <v>10.4</v>
      </c>
      <c r="D9" s="6">
        <v>10.2</v>
      </c>
      <c r="E9" s="6">
        <v>10.34</v>
      </c>
      <c r="F9" s="6">
        <v>10.34</v>
      </c>
      <c r="G9" s="7">
        <v>1.15E8</v>
      </c>
    </row>
    <row r="10">
      <c r="A10" s="5">
        <v>44939.0</v>
      </c>
      <c r="B10" s="6">
        <v>10.46</v>
      </c>
      <c r="C10" s="6">
        <v>10.58</v>
      </c>
      <c r="D10" s="6">
        <v>10.42</v>
      </c>
      <c r="E10" s="6">
        <v>10.46</v>
      </c>
      <c r="F10" s="6">
        <v>10.46</v>
      </c>
      <c r="G10" s="7">
        <v>1.18E8</v>
      </c>
    </row>
    <row r="11">
      <c r="A11" s="5">
        <v>44942.0</v>
      </c>
      <c r="B11" s="6">
        <v>10.6</v>
      </c>
      <c r="C11" s="6">
        <v>10.8</v>
      </c>
      <c r="D11" s="6">
        <v>10.46</v>
      </c>
      <c r="E11" s="6">
        <v>10.5</v>
      </c>
      <c r="F11" s="6">
        <v>10.5</v>
      </c>
      <c r="G11" s="7">
        <v>1.19E8</v>
      </c>
    </row>
    <row r="12">
      <c r="A12" s="5">
        <v>44943.0</v>
      </c>
      <c r="B12" s="6">
        <v>10.52</v>
      </c>
      <c r="C12" s="6">
        <v>10.64</v>
      </c>
      <c r="D12" s="6">
        <v>10.46</v>
      </c>
      <c r="E12" s="6">
        <v>10.5</v>
      </c>
      <c r="F12" s="6">
        <v>10.5</v>
      </c>
      <c r="G12" s="6">
        <v>6.3656603E7</v>
      </c>
    </row>
    <row r="13">
      <c r="A13" s="5">
        <v>44944.0</v>
      </c>
      <c r="B13" s="6">
        <v>10.56</v>
      </c>
      <c r="C13" s="6">
        <v>10.92</v>
      </c>
      <c r="D13" s="6">
        <v>10.56</v>
      </c>
      <c r="E13" s="6">
        <v>10.84</v>
      </c>
      <c r="F13" s="6">
        <v>10.84</v>
      </c>
      <c r="G13" s="7">
        <v>1.16E8</v>
      </c>
    </row>
    <row r="14">
      <c r="A14" s="5">
        <v>44945.0</v>
      </c>
      <c r="B14" s="6">
        <v>10.7</v>
      </c>
      <c r="C14" s="6">
        <v>10.88</v>
      </c>
      <c r="D14" s="6">
        <v>10.7</v>
      </c>
      <c r="E14" s="6">
        <v>10.8</v>
      </c>
      <c r="F14" s="6">
        <v>10.8</v>
      </c>
      <c r="G14" s="6">
        <v>3.3428025E7</v>
      </c>
    </row>
    <row r="15">
      <c r="A15" s="5">
        <v>44946.0</v>
      </c>
      <c r="B15" s="6">
        <v>11.0</v>
      </c>
      <c r="C15" s="6">
        <v>11.46</v>
      </c>
      <c r="D15" s="6">
        <v>10.98</v>
      </c>
      <c r="E15" s="6">
        <v>11.38</v>
      </c>
      <c r="F15" s="6">
        <v>11.38</v>
      </c>
      <c r="G15" s="7">
        <v>1.07E8</v>
      </c>
    </row>
    <row r="16">
      <c r="A16" s="5">
        <v>44952.0</v>
      </c>
      <c r="B16" s="6">
        <v>11.4</v>
      </c>
      <c r="C16" s="6">
        <v>11.68</v>
      </c>
      <c r="D16" s="6">
        <v>11.26</v>
      </c>
      <c r="E16" s="6">
        <v>11.48</v>
      </c>
      <c r="F16" s="6">
        <v>11.48</v>
      </c>
      <c r="G16" s="6">
        <v>7.1953543E7</v>
      </c>
    </row>
    <row r="17">
      <c r="A17" s="5">
        <v>44953.0</v>
      </c>
      <c r="B17" s="6">
        <v>11.48</v>
      </c>
      <c r="C17" s="6">
        <v>11.7</v>
      </c>
      <c r="D17" s="6">
        <v>11.44</v>
      </c>
      <c r="E17" s="6">
        <v>11.64</v>
      </c>
      <c r="F17" s="6">
        <v>11.64</v>
      </c>
      <c r="G17" s="6">
        <v>4.6279719E7</v>
      </c>
    </row>
    <row r="18">
      <c r="A18" s="5">
        <v>44956.0</v>
      </c>
      <c r="B18" s="6">
        <v>11.6</v>
      </c>
      <c r="C18" s="6">
        <v>11.64</v>
      </c>
      <c r="D18" s="6">
        <v>11.32</v>
      </c>
      <c r="E18" s="6">
        <v>11.38</v>
      </c>
      <c r="F18" s="6">
        <v>11.38</v>
      </c>
      <c r="G18" s="7">
        <v>1.26E8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</row>
    <row r="2">
      <c r="A2" s="9">
        <v>44564.0</v>
      </c>
      <c r="B2" s="1">
        <v>61.240002</v>
      </c>
      <c r="C2" s="1">
        <v>63.599998</v>
      </c>
      <c r="D2" s="1">
        <v>61.209999</v>
      </c>
      <c r="E2" s="1">
        <v>63.540001</v>
      </c>
      <c r="F2" s="1">
        <v>61.115536</v>
      </c>
      <c r="G2" s="1">
        <v>2.42824E7</v>
      </c>
      <c r="H2" s="6">
        <v>8.09</v>
      </c>
    </row>
    <row r="3">
      <c r="A3" s="9">
        <v>44565.0</v>
      </c>
      <c r="B3" s="1">
        <v>64.129997</v>
      </c>
      <c r="C3" s="1">
        <v>66.190002</v>
      </c>
      <c r="D3" s="1">
        <v>64.099998</v>
      </c>
      <c r="E3" s="1">
        <v>65.93</v>
      </c>
      <c r="F3" s="1">
        <v>63.414337</v>
      </c>
      <c r="G3" s="1">
        <v>3.8584E7</v>
      </c>
      <c r="H3" s="6">
        <v>8.2</v>
      </c>
    </row>
    <row r="4">
      <c r="A4" s="9">
        <v>44566.0</v>
      </c>
      <c r="B4" s="1">
        <v>66.5</v>
      </c>
      <c r="C4" s="1">
        <v>67.610001</v>
      </c>
      <c r="D4" s="1">
        <v>66.480003</v>
      </c>
      <c r="E4" s="1">
        <v>66.75</v>
      </c>
      <c r="F4" s="1">
        <v>64.203064</v>
      </c>
      <c r="G4" s="1">
        <v>3.40333E7</v>
      </c>
      <c r="H4" s="6">
        <v>8.4</v>
      </c>
    </row>
    <row r="5">
      <c r="A5" s="9">
        <v>44567.0</v>
      </c>
      <c r="B5" s="1">
        <v>68.0</v>
      </c>
      <c r="C5" s="1">
        <v>68.480003</v>
      </c>
      <c r="D5" s="1">
        <v>67.07</v>
      </c>
      <c r="E5" s="1">
        <v>68.32</v>
      </c>
      <c r="F5" s="1">
        <v>65.71315</v>
      </c>
      <c r="G5" s="1">
        <v>3.06685E7</v>
      </c>
      <c r="H5" s="6">
        <v>8.54</v>
      </c>
    </row>
    <row r="6">
      <c r="A6" s="9">
        <v>44568.0</v>
      </c>
      <c r="B6" s="1">
        <v>68.519997</v>
      </c>
      <c r="C6" s="1">
        <v>69.18</v>
      </c>
      <c r="D6" s="1">
        <v>67.980003</v>
      </c>
      <c r="E6" s="1">
        <v>68.879997</v>
      </c>
      <c r="F6" s="1">
        <v>66.251778</v>
      </c>
      <c r="G6" s="1">
        <v>2.39854E7</v>
      </c>
      <c r="H6" s="6">
        <v>8.59</v>
      </c>
    </row>
    <row r="7">
      <c r="A7" s="9">
        <v>44571.0</v>
      </c>
      <c r="B7" s="1">
        <v>68.970001</v>
      </c>
      <c r="C7" s="1">
        <v>69.169998</v>
      </c>
      <c r="D7" s="1">
        <v>67.949997</v>
      </c>
      <c r="E7" s="1">
        <v>68.470001</v>
      </c>
      <c r="F7" s="1">
        <v>65.85743</v>
      </c>
      <c r="G7" s="1">
        <v>2.27603E7</v>
      </c>
      <c r="H7" s="6">
        <v>8.54</v>
      </c>
    </row>
    <row r="8">
      <c r="A8" s="9">
        <v>44572.0</v>
      </c>
      <c r="B8" s="1">
        <v>68.889999</v>
      </c>
      <c r="C8" s="1">
        <v>71.400002</v>
      </c>
      <c r="D8" s="1">
        <v>68.580002</v>
      </c>
      <c r="E8" s="1">
        <v>71.349998</v>
      </c>
      <c r="F8" s="1">
        <v>68.627533</v>
      </c>
      <c r="G8" s="1">
        <v>3.29361E7</v>
      </c>
      <c r="H8" s="6">
        <v>8.57</v>
      </c>
    </row>
    <row r="9">
      <c r="A9" s="9">
        <v>44573.0</v>
      </c>
      <c r="B9" s="1">
        <v>71.139999</v>
      </c>
      <c r="C9" s="1">
        <v>71.809998</v>
      </c>
      <c r="D9" s="1">
        <v>70.639999</v>
      </c>
      <c r="E9" s="1">
        <v>71.139999</v>
      </c>
      <c r="F9" s="1">
        <v>68.425552</v>
      </c>
      <c r="G9" s="1">
        <v>2.30451E7</v>
      </c>
      <c r="H9" s="6">
        <v>9.15</v>
      </c>
    </row>
    <row r="10">
      <c r="A10" s="9">
        <v>44574.0</v>
      </c>
      <c r="B10" s="1">
        <v>71.120003</v>
      </c>
      <c r="C10" s="1">
        <v>71.580002</v>
      </c>
      <c r="D10" s="1">
        <v>70.309998</v>
      </c>
      <c r="E10" s="1">
        <v>70.629997</v>
      </c>
      <c r="F10" s="1">
        <v>67.935013</v>
      </c>
      <c r="G10" s="1">
        <v>2.10432E7</v>
      </c>
      <c r="H10" s="6">
        <v>9.24</v>
      </c>
    </row>
    <row r="11">
      <c r="A11" s="9">
        <v>44575.0</v>
      </c>
      <c r="B11" s="1">
        <v>70.650002</v>
      </c>
      <c r="C11" s="1">
        <v>72.150002</v>
      </c>
      <c r="D11" s="1">
        <v>70.599998</v>
      </c>
      <c r="E11" s="1">
        <v>71.870003</v>
      </c>
      <c r="F11" s="1">
        <v>69.127701</v>
      </c>
      <c r="G11" s="1">
        <v>2.30129E7</v>
      </c>
      <c r="H11" s="6">
        <v>9.2</v>
      </c>
    </row>
    <row r="12">
      <c r="A12" s="9">
        <v>44579.0</v>
      </c>
      <c r="B12" s="1">
        <v>72.82</v>
      </c>
      <c r="C12" s="1">
        <v>73.879997</v>
      </c>
      <c r="D12" s="1">
        <v>72.010002</v>
      </c>
      <c r="E12" s="1">
        <v>73.080002</v>
      </c>
      <c r="F12" s="1">
        <v>70.291527</v>
      </c>
      <c r="G12" s="1">
        <v>3.28412E7</v>
      </c>
      <c r="H12" s="6">
        <v>9.35</v>
      </c>
    </row>
    <row r="13">
      <c r="A13" s="9">
        <v>44580.0</v>
      </c>
      <c r="B13" s="1">
        <v>73.75</v>
      </c>
      <c r="C13" s="1">
        <v>73.860001</v>
      </c>
      <c r="D13" s="1">
        <v>72.550003</v>
      </c>
      <c r="E13" s="1">
        <v>73.110001</v>
      </c>
      <c r="F13" s="1">
        <v>70.320381</v>
      </c>
      <c r="G13" s="1">
        <v>2.64316E7</v>
      </c>
      <c r="H13" s="6">
        <v>9.43</v>
      </c>
    </row>
    <row r="14">
      <c r="A14" s="9">
        <v>44581.0</v>
      </c>
      <c r="B14" s="1">
        <v>72.5</v>
      </c>
      <c r="C14" s="1">
        <v>74.370003</v>
      </c>
      <c r="D14" s="1">
        <v>72.260002</v>
      </c>
      <c r="E14" s="1">
        <v>73.269997</v>
      </c>
      <c r="F14" s="1">
        <v>70.474281</v>
      </c>
      <c r="G14" s="1">
        <v>2.67746E7</v>
      </c>
      <c r="H14" s="6">
        <v>9.31</v>
      </c>
    </row>
    <row r="15">
      <c r="A15" s="9">
        <v>44582.0</v>
      </c>
      <c r="B15" s="1">
        <v>73.18</v>
      </c>
      <c r="C15" s="1">
        <v>73.18</v>
      </c>
      <c r="D15" s="1">
        <v>71.040001</v>
      </c>
      <c r="E15" s="1">
        <v>72.169998</v>
      </c>
      <c r="F15" s="1">
        <v>69.416245</v>
      </c>
      <c r="G15" s="1">
        <v>3.59952E7</v>
      </c>
      <c r="H15" s="6">
        <v>9.28</v>
      </c>
    </row>
    <row r="16">
      <c r="A16" s="9">
        <v>44585.0</v>
      </c>
      <c r="B16" s="1">
        <v>70.879997</v>
      </c>
      <c r="C16" s="1">
        <v>73.080002</v>
      </c>
      <c r="D16" s="1">
        <v>69.809998</v>
      </c>
      <c r="E16" s="1">
        <v>72.790001</v>
      </c>
      <c r="F16" s="1">
        <v>70.012596</v>
      </c>
      <c r="G16" s="1">
        <v>4.1507E7</v>
      </c>
      <c r="H16" s="6">
        <v>9.35</v>
      </c>
    </row>
    <row r="17">
      <c r="A17" s="9">
        <v>44586.0</v>
      </c>
      <c r="B17" s="1">
        <v>72.589996</v>
      </c>
      <c r="C17" s="1">
        <v>75.239998</v>
      </c>
      <c r="D17" s="1">
        <v>71.389999</v>
      </c>
      <c r="E17" s="1">
        <v>74.93</v>
      </c>
      <c r="F17" s="1">
        <v>72.070938</v>
      </c>
      <c r="G17" s="1">
        <v>3.92784E7</v>
      </c>
      <c r="H17" s="6">
        <v>9.24</v>
      </c>
    </row>
    <row r="18">
      <c r="A18" s="9">
        <v>44587.0</v>
      </c>
      <c r="B18" s="1">
        <v>75.43</v>
      </c>
      <c r="C18" s="1">
        <v>76.0</v>
      </c>
      <c r="D18" s="1">
        <v>73.489998</v>
      </c>
      <c r="E18" s="1">
        <v>74.169998</v>
      </c>
      <c r="F18" s="1">
        <v>71.339935</v>
      </c>
      <c r="G18" s="1">
        <v>3.52524E7</v>
      </c>
      <c r="H18" s="6">
        <v>9.41</v>
      </c>
    </row>
    <row r="19">
      <c r="A19" s="9">
        <v>44588.0</v>
      </c>
      <c r="B19" s="1">
        <v>75.459999</v>
      </c>
      <c r="C19" s="1">
        <v>76.010002</v>
      </c>
      <c r="D19" s="1">
        <v>73.989998</v>
      </c>
      <c r="E19" s="1">
        <v>75.120003</v>
      </c>
      <c r="F19" s="1">
        <v>72.253685</v>
      </c>
      <c r="G19" s="1">
        <v>2.91747E7</v>
      </c>
      <c r="H19" s="6">
        <v>9.31</v>
      </c>
    </row>
    <row r="20">
      <c r="A20" s="9">
        <v>44589.0</v>
      </c>
      <c r="B20" s="1">
        <v>74.970001</v>
      </c>
      <c r="C20" s="1">
        <v>75.620003</v>
      </c>
      <c r="D20" s="1">
        <v>73.949997</v>
      </c>
      <c r="E20" s="1">
        <v>75.279999</v>
      </c>
      <c r="F20" s="1">
        <v>72.407585</v>
      </c>
      <c r="G20" s="1">
        <v>3.05957E7</v>
      </c>
      <c r="H20" s="6">
        <v>9.34</v>
      </c>
    </row>
    <row r="21">
      <c r="A21" s="9">
        <v>44592.0</v>
      </c>
      <c r="B21" s="1">
        <v>74.970001</v>
      </c>
      <c r="C21" s="1">
        <v>76.419998</v>
      </c>
      <c r="D21" s="1">
        <v>74.269997</v>
      </c>
      <c r="E21" s="1">
        <v>75.959999</v>
      </c>
      <c r="F21" s="1">
        <v>73.061638</v>
      </c>
      <c r="G21" s="1">
        <v>3.60855E7</v>
      </c>
      <c r="H21" s="6">
        <v>9.37</v>
      </c>
    </row>
    <row r="22">
      <c r="A22" s="9">
        <v>44596.0</v>
      </c>
      <c r="B22" s="1">
        <v>80.870003</v>
      </c>
      <c r="C22" s="1">
        <v>82.529999</v>
      </c>
      <c r="D22" s="1">
        <v>80.870003</v>
      </c>
      <c r="E22" s="1">
        <v>81.410004</v>
      </c>
      <c r="F22" s="1">
        <v>78.303696</v>
      </c>
      <c r="G22" s="1">
        <v>3.21975E7</v>
      </c>
      <c r="H22" s="6">
        <v>9.5</v>
      </c>
    </row>
    <row r="23">
      <c r="A23" s="9">
        <v>44599.0</v>
      </c>
      <c r="B23" s="1">
        <v>81.139999</v>
      </c>
      <c r="C23" s="1">
        <v>83.080002</v>
      </c>
      <c r="D23" s="1">
        <v>80.639999</v>
      </c>
      <c r="E23" s="1">
        <v>82.389999</v>
      </c>
      <c r="F23" s="1">
        <v>79.246292</v>
      </c>
      <c r="G23" s="1">
        <v>3.49492E7</v>
      </c>
      <c r="H23" s="6">
        <v>9.9</v>
      </c>
    </row>
    <row r="24">
      <c r="A24" s="9">
        <v>44600.0</v>
      </c>
      <c r="B24" s="1">
        <v>82.269997</v>
      </c>
      <c r="C24" s="1">
        <v>82.5</v>
      </c>
      <c r="D24" s="1">
        <v>79.919998</v>
      </c>
      <c r="E24" s="1">
        <v>80.260002</v>
      </c>
      <c r="F24" s="1">
        <v>77.197563</v>
      </c>
      <c r="G24" s="1">
        <v>3.43563E7</v>
      </c>
      <c r="H24" s="6">
        <v>9.79</v>
      </c>
    </row>
    <row r="25">
      <c r="A25" s="9">
        <v>44601.0</v>
      </c>
      <c r="B25" s="1">
        <v>79.580002</v>
      </c>
      <c r="C25" s="1">
        <v>80.029999</v>
      </c>
      <c r="D25" s="1">
        <v>78.709999</v>
      </c>
      <c r="E25" s="1">
        <v>79.0</v>
      </c>
      <c r="F25" s="1">
        <v>76.828011</v>
      </c>
      <c r="G25" s="1">
        <v>4.01061E7</v>
      </c>
      <c r="H25" s="6">
        <v>9.86</v>
      </c>
    </row>
    <row r="26">
      <c r="A26" s="9">
        <v>44602.0</v>
      </c>
      <c r="B26" s="1">
        <v>78.720001</v>
      </c>
      <c r="C26" s="1">
        <v>79.68</v>
      </c>
      <c r="D26" s="1">
        <v>77.790001</v>
      </c>
      <c r="E26" s="1">
        <v>78.239998</v>
      </c>
      <c r="F26" s="1">
        <v>76.088913</v>
      </c>
      <c r="G26" s="1">
        <v>2.85277E7</v>
      </c>
      <c r="H26" s="6">
        <v>9.86</v>
      </c>
    </row>
    <row r="27">
      <c r="A27" s="9">
        <v>44603.0</v>
      </c>
      <c r="B27" s="1">
        <v>78.620003</v>
      </c>
      <c r="C27" s="1">
        <v>80.32</v>
      </c>
      <c r="D27" s="1">
        <v>78.230003</v>
      </c>
      <c r="E27" s="1">
        <v>80.209999</v>
      </c>
      <c r="F27" s="1">
        <v>78.004745</v>
      </c>
      <c r="G27" s="1">
        <v>4.20021E7</v>
      </c>
      <c r="H27" s="6">
        <v>9.95</v>
      </c>
    </row>
    <row r="28">
      <c r="A28" s="9">
        <v>44606.0</v>
      </c>
      <c r="B28" s="1">
        <v>79.580002</v>
      </c>
      <c r="C28" s="1">
        <v>79.839996</v>
      </c>
      <c r="D28" s="1">
        <v>77.050003</v>
      </c>
      <c r="E28" s="1">
        <v>78.980003</v>
      </c>
      <c r="F28" s="1">
        <v>76.808563</v>
      </c>
      <c r="G28" s="1">
        <v>3.46528E7</v>
      </c>
      <c r="H28" s="6">
        <v>9.96</v>
      </c>
    </row>
    <row r="29">
      <c r="A29" s="9">
        <v>44607.0</v>
      </c>
      <c r="B29" s="1">
        <v>76.900002</v>
      </c>
      <c r="C29" s="1">
        <v>78.190002</v>
      </c>
      <c r="D29" s="1">
        <v>76.419998</v>
      </c>
      <c r="E29" s="1">
        <v>77.989998</v>
      </c>
      <c r="F29" s="1">
        <v>75.845779</v>
      </c>
      <c r="G29" s="1">
        <v>2.50751E7</v>
      </c>
      <c r="H29" s="6">
        <v>9.7</v>
      </c>
    </row>
    <row r="30">
      <c r="A30" s="9">
        <v>44608.0</v>
      </c>
      <c r="B30" s="1">
        <v>78.790001</v>
      </c>
      <c r="C30" s="1">
        <v>79.730003</v>
      </c>
      <c r="D30" s="1">
        <v>78.040001</v>
      </c>
      <c r="E30" s="1">
        <v>78.349998</v>
      </c>
      <c r="F30" s="1">
        <v>76.195877</v>
      </c>
      <c r="G30" s="1">
        <v>2.17338E7</v>
      </c>
      <c r="H30" s="6">
        <v>9.82</v>
      </c>
    </row>
    <row r="31">
      <c r="A31" s="9">
        <v>44609.0</v>
      </c>
      <c r="B31" s="1">
        <v>78.480003</v>
      </c>
      <c r="C31" s="1">
        <v>79.120003</v>
      </c>
      <c r="D31" s="1">
        <v>77.949997</v>
      </c>
      <c r="E31" s="1">
        <v>78.230003</v>
      </c>
      <c r="F31" s="1">
        <v>76.079185</v>
      </c>
      <c r="G31" s="1">
        <v>2.37388E7</v>
      </c>
      <c r="H31" s="6">
        <v>9.83</v>
      </c>
    </row>
    <row r="32">
      <c r="A32" s="9">
        <v>44610.0</v>
      </c>
      <c r="B32" s="1">
        <v>77.160004</v>
      </c>
      <c r="C32" s="1">
        <v>78.169998</v>
      </c>
      <c r="D32" s="1">
        <v>76.889999</v>
      </c>
      <c r="E32" s="1">
        <v>77.360001</v>
      </c>
      <c r="F32" s="1">
        <v>75.233109</v>
      </c>
      <c r="G32" s="1">
        <v>2.33948E7</v>
      </c>
      <c r="H32" s="6">
        <v>9.87</v>
      </c>
    </row>
    <row r="33">
      <c r="A33" s="9">
        <v>44614.0</v>
      </c>
      <c r="B33" s="1">
        <v>79.669998</v>
      </c>
      <c r="C33" s="1">
        <v>79.790001</v>
      </c>
      <c r="D33" s="1">
        <v>75.309998</v>
      </c>
      <c r="E33" s="1">
        <v>76.459999</v>
      </c>
      <c r="F33" s="1">
        <v>74.357849</v>
      </c>
      <c r="G33" s="1">
        <v>3.59478E7</v>
      </c>
      <c r="H33" s="6">
        <v>10.06</v>
      </c>
    </row>
    <row r="34">
      <c r="A34" s="9">
        <v>44615.0</v>
      </c>
      <c r="B34" s="1">
        <v>76.459999</v>
      </c>
      <c r="C34" s="1">
        <v>77.470001</v>
      </c>
      <c r="D34" s="1">
        <v>76.129997</v>
      </c>
      <c r="E34" s="1">
        <v>76.769997</v>
      </c>
      <c r="F34" s="1">
        <v>74.659317</v>
      </c>
      <c r="G34" s="1">
        <v>2.5385E7</v>
      </c>
      <c r="H34" s="6">
        <v>10.02</v>
      </c>
    </row>
    <row r="35">
      <c r="A35" s="9">
        <v>44616.0</v>
      </c>
      <c r="B35" s="1">
        <v>79.0</v>
      </c>
      <c r="C35" s="1">
        <v>79.029999</v>
      </c>
      <c r="D35" s="1">
        <v>74.029999</v>
      </c>
      <c r="E35" s="1">
        <v>75.800003</v>
      </c>
      <c r="F35" s="1">
        <v>73.716003</v>
      </c>
      <c r="G35" s="1">
        <v>4.61999E7</v>
      </c>
      <c r="H35" s="6">
        <v>10.12</v>
      </c>
    </row>
    <row r="36">
      <c r="A36" s="9">
        <v>44617.0</v>
      </c>
      <c r="B36" s="1">
        <v>76.690002</v>
      </c>
      <c r="C36" s="1">
        <v>77.989998</v>
      </c>
      <c r="D36" s="1">
        <v>76.260002</v>
      </c>
      <c r="E36" s="1">
        <v>77.839996</v>
      </c>
      <c r="F36" s="1">
        <v>75.699898</v>
      </c>
      <c r="G36" s="1">
        <v>2.83103E7</v>
      </c>
      <c r="H36" s="6">
        <v>9.8</v>
      </c>
    </row>
    <row r="37">
      <c r="A37" s="9">
        <v>44620.0</v>
      </c>
      <c r="B37" s="1">
        <v>76.510002</v>
      </c>
      <c r="C37" s="1">
        <v>78.93</v>
      </c>
      <c r="D37" s="1">
        <v>76.199997</v>
      </c>
      <c r="E37" s="1">
        <v>78.419998</v>
      </c>
      <c r="F37" s="1">
        <v>76.263962</v>
      </c>
      <c r="G37" s="1">
        <v>3.22046E7</v>
      </c>
      <c r="H37" s="6">
        <v>9.97</v>
      </c>
    </row>
    <row r="38">
      <c r="A38" s="9">
        <v>44621.0</v>
      </c>
      <c r="B38" s="1">
        <v>78.769997</v>
      </c>
      <c r="C38" s="1">
        <v>80.650002</v>
      </c>
      <c r="D38" s="1">
        <v>78.330002</v>
      </c>
      <c r="E38" s="1">
        <v>79.169998</v>
      </c>
      <c r="F38" s="1">
        <v>76.99334</v>
      </c>
      <c r="G38" s="1">
        <v>4.00023E7</v>
      </c>
      <c r="H38" s="6">
        <v>10.02</v>
      </c>
    </row>
    <row r="39">
      <c r="A39" s="9">
        <v>44622.0</v>
      </c>
      <c r="B39" s="1">
        <v>80.599998</v>
      </c>
      <c r="C39" s="1">
        <v>82.150002</v>
      </c>
      <c r="D39" s="1">
        <v>79.82</v>
      </c>
      <c r="E39" s="1">
        <v>80.529999</v>
      </c>
      <c r="F39" s="1">
        <v>78.315941</v>
      </c>
      <c r="G39" s="1">
        <v>4.43214E7</v>
      </c>
      <c r="H39" s="6">
        <v>10.36</v>
      </c>
    </row>
    <row r="40">
      <c r="A40" s="9">
        <v>44623.0</v>
      </c>
      <c r="B40" s="1">
        <v>79.860001</v>
      </c>
      <c r="C40" s="1">
        <v>81.769997</v>
      </c>
      <c r="D40" s="1">
        <v>79.629997</v>
      </c>
      <c r="E40" s="1">
        <v>81.040001</v>
      </c>
      <c r="F40" s="1">
        <v>78.811935</v>
      </c>
      <c r="G40" s="1">
        <v>3.01966E7</v>
      </c>
      <c r="H40" s="6">
        <v>10.64</v>
      </c>
    </row>
    <row r="41">
      <c r="A41" s="9">
        <v>44624.0</v>
      </c>
      <c r="B41" s="1">
        <v>81.050003</v>
      </c>
      <c r="C41" s="1">
        <v>84.279999</v>
      </c>
      <c r="D41" s="1">
        <v>80.660004</v>
      </c>
      <c r="E41" s="1">
        <v>84.089996</v>
      </c>
      <c r="F41" s="1">
        <v>81.778069</v>
      </c>
      <c r="G41" s="1">
        <v>4.28022E7</v>
      </c>
      <c r="H41" s="6">
        <v>10.42</v>
      </c>
    </row>
    <row r="42">
      <c r="A42" s="9">
        <v>44627.0</v>
      </c>
      <c r="B42" s="1">
        <v>84.919998</v>
      </c>
      <c r="C42" s="1">
        <v>87.230003</v>
      </c>
      <c r="D42" s="1">
        <v>83.900002</v>
      </c>
      <c r="E42" s="1">
        <v>87.120003</v>
      </c>
      <c r="F42" s="1">
        <v>84.72477</v>
      </c>
      <c r="G42" s="1">
        <v>5.52079E7</v>
      </c>
      <c r="H42" s="6">
        <v>10.66</v>
      </c>
    </row>
    <row r="43">
      <c r="A43" s="9">
        <v>44628.0</v>
      </c>
      <c r="B43" s="1">
        <v>89.050003</v>
      </c>
      <c r="C43" s="1">
        <v>91.510002</v>
      </c>
      <c r="D43" s="1">
        <v>85.43</v>
      </c>
      <c r="E43" s="1">
        <v>87.779999</v>
      </c>
      <c r="F43" s="1">
        <v>85.366623</v>
      </c>
      <c r="G43" s="1">
        <v>7.20823E7</v>
      </c>
      <c r="H43" s="6">
        <v>10.18</v>
      </c>
    </row>
    <row r="44">
      <c r="A44" s="9">
        <v>44629.0</v>
      </c>
      <c r="B44" s="1">
        <v>84.029999</v>
      </c>
      <c r="C44" s="1">
        <v>86.57</v>
      </c>
      <c r="D44" s="1">
        <v>81.599998</v>
      </c>
      <c r="E44" s="1">
        <v>82.790001</v>
      </c>
      <c r="F44" s="1">
        <v>80.513809</v>
      </c>
      <c r="G44" s="1">
        <v>6.54667E7</v>
      </c>
      <c r="H44" s="6">
        <v>10.12</v>
      </c>
    </row>
    <row r="45">
      <c r="A45" s="9">
        <v>44630.0</v>
      </c>
      <c r="B45" s="1">
        <v>84.010002</v>
      </c>
      <c r="C45" s="1">
        <v>85.68</v>
      </c>
      <c r="D45" s="1">
        <v>82.900002</v>
      </c>
      <c r="E45" s="1">
        <v>85.360001</v>
      </c>
      <c r="F45" s="1">
        <v>83.013153</v>
      </c>
      <c r="G45" s="1">
        <v>4.46442E7</v>
      </c>
      <c r="H45" s="6">
        <v>10.1</v>
      </c>
    </row>
    <row r="46">
      <c r="A46" s="9">
        <v>44631.0</v>
      </c>
      <c r="B46" s="1">
        <v>84.07</v>
      </c>
      <c r="C46" s="1">
        <v>86.230003</v>
      </c>
      <c r="D46" s="1">
        <v>83.970001</v>
      </c>
      <c r="E46" s="1">
        <v>84.919998</v>
      </c>
      <c r="F46" s="1">
        <v>82.585243</v>
      </c>
      <c r="G46" s="1">
        <v>3.53034E7</v>
      </c>
      <c r="H46" s="6">
        <v>9.79</v>
      </c>
    </row>
    <row r="47">
      <c r="A47" s="9">
        <v>44634.0</v>
      </c>
      <c r="B47" s="1">
        <v>83.059998</v>
      </c>
      <c r="C47" s="1">
        <v>83.449997</v>
      </c>
      <c r="D47" s="1">
        <v>80.5</v>
      </c>
      <c r="E47" s="1">
        <v>81.879997</v>
      </c>
      <c r="F47" s="1">
        <v>79.628822</v>
      </c>
      <c r="G47" s="1">
        <v>3.74626E7</v>
      </c>
      <c r="H47" s="6">
        <v>9.47</v>
      </c>
    </row>
    <row r="48">
      <c r="A48" s="9">
        <v>44635.0</v>
      </c>
      <c r="B48" s="1">
        <v>78.82</v>
      </c>
      <c r="C48" s="1">
        <v>79.169998</v>
      </c>
      <c r="D48" s="1">
        <v>76.370003</v>
      </c>
      <c r="E48" s="1">
        <v>77.220001</v>
      </c>
      <c r="F48" s="1">
        <v>75.096954</v>
      </c>
      <c r="G48" s="1">
        <v>4.79579E7</v>
      </c>
      <c r="H48" s="6">
        <v>8.92</v>
      </c>
    </row>
    <row r="49">
      <c r="A49" s="9">
        <v>44636.0</v>
      </c>
      <c r="B49" s="1">
        <v>77.809998</v>
      </c>
      <c r="C49" s="1">
        <v>78.620003</v>
      </c>
      <c r="D49" s="1">
        <v>76.25</v>
      </c>
      <c r="E49" s="1">
        <v>76.93</v>
      </c>
      <c r="F49" s="1">
        <v>74.814926</v>
      </c>
      <c r="G49" s="1">
        <v>3.78123E7</v>
      </c>
      <c r="H49" s="6">
        <v>9.19</v>
      </c>
    </row>
    <row r="50">
      <c r="A50" s="9">
        <v>44637.0</v>
      </c>
      <c r="B50" s="1">
        <v>78.18</v>
      </c>
      <c r="C50" s="1">
        <v>79.150002</v>
      </c>
      <c r="D50" s="1">
        <v>77.07</v>
      </c>
      <c r="E50" s="1">
        <v>78.980003</v>
      </c>
      <c r="F50" s="1">
        <v>76.808563</v>
      </c>
      <c r="G50" s="1">
        <v>3.40419E7</v>
      </c>
      <c r="H50" s="6">
        <v>9.52</v>
      </c>
    </row>
    <row r="51">
      <c r="A51" s="9">
        <v>44638.0</v>
      </c>
      <c r="B51" s="1">
        <v>79.059998</v>
      </c>
      <c r="C51" s="1">
        <v>79.389999</v>
      </c>
      <c r="D51" s="1">
        <v>78.099998</v>
      </c>
      <c r="E51" s="1">
        <v>78.669998</v>
      </c>
      <c r="F51" s="1">
        <v>76.50708</v>
      </c>
      <c r="G51" s="1">
        <v>4.14615E7</v>
      </c>
      <c r="H51" s="6">
        <v>9.84</v>
      </c>
    </row>
    <row r="52">
      <c r="A52" s="9">
        <v>44641.0</v>
      </c>
      <c r="B52" s="1">
        <v>80.120003</v>
      </c>
      <c r="C52" s="1">
        <v>82.519997</v>
      </c>
      <c r="D52" s="1">
        <v>79.739998</v>
      </c>
      <c r="E52" s="1">
        <v>82.199997</v>
      </c>
      <c r="F52" s="1">
        <v>79.940025</v>
      </c>
      <c r="G52" s="1">
        <v>3.30893E7</v>
      </c>
      <c r="H52" s="6">
        <v>9.92</v>
      </c>
    </row>
    <row r="53">
      <c r="A53" s="9">
        <v>44642.0</v>
      </c>
      <c r="B53" s="1">
        <v>81.629997</v>
      </c>
      <c r="C53" s="1">
        <v>82.199997</v>
      </c>
      <c r="D53" s="1">
        <v>80.790001</v>
      </c>
      <c r="E53" s="1">
        <v>81.839996</v>
      </c>
      <c r="F53" s="1">
        <v>79.589928</v>
      </c>
      <c r="G53" s="1">
        <v>2.31322E7</v>
      </c>
      <c r="H53" s="6">
        <v>10.36</v>
      </c>
    </row>
    <row r="54">
      <c r="A54" s="9">
        <v>44643.0</v>
      </c>
      <c r="B54" s="1">
        <v>83.339996</v>
      </c>
      <c r="C54" s="1">
        <v>84.269997</v>
      </c>
      <c r="D54" s="1">
        <v>83.050003</v>
      </c>
      <c r="E54" s="1">
        <v>83.129997</v>
      </c>
      <c r="F54" s="1">
        <v>80.84446</v>
      </c>
      <c r="G54" s="1">
        <v>2.77163E7</v>
      </c>
      <c r="H54" s="6">
        <v>10.2</v>
      </c>
    </row>
    <row r="55">
      <c r="A55" s="9">
        <v>44644.0</v>
      </c>
      <c r="B55" s="1">
        <v>83.459999</v>
      </c>
      <c r="C55" s="1">
        <v>84.650002</v>
      </c>
      <c r="D55" s="1">
        <v>82.75</v>
      </c>
      <c r="E55" s="1">
        <v>83.379997</v>
      </c>
      <c r="F55" s="1">
        <v>81.087593</v>
      </c>
      <c r="G55" s="1">
        <v>1.98716E7</v>
      </c>
      <c r="H55" s="6">
        <v>10.34</v>
      </c>
    </row>
    <row r="56">
      <c r="A56" s="9">
        <v>44645.0</v>
      </c>
      <c r="B56" s="1">
        <v>82.919998</v>
      </c>
      <c r="C56" s="1">
        <v>85.489998</v>
      </c>
      <c r="D56" s="1">
        <v>82.790001</v>
      </c>
      <c r="E56" s="1">
        <v>85.199997</v>
      </c>
      <c r="F56" s="1">
        <v>82.857552</v>
      </c>
      <c r="G56" s="1">
        <v>2.23983E7</v>
      </c>
      <c r="H56" s="6">
        <v>10.26</v>
      </c>
    </row>
    <row r="57">
      <c r="A57" s="9">
        <v>44648.0</v>
      </c>
      <c r="B57" s="1">
        <v>83.169998</v>
      </c>
      <c r="C57" s="1">
        <v>83.309998</v>
      </c>
      <c r="D57" s="1">
        <v>82.019997</v>
      </c>
      <c r="E57" s="1">
        <v>82.809998</v>
      </c>
      <c r="F57" s="1">
        <v>80.533264</v>
      </c>
      <c r="G57" s="1">
        <v>2.15524E7</v>
      </c>
      <c r="H57" s="6">
        <v>10.64</v>
      </c>
    </row>
    <row r="58">
      <c r="A58" s="9">
        <v>44649.0</v>
      </c>
      <c r="B58" s="1">
        <v>80.809998</v>
      </c>
      <c r="C58" s="1">
        <v>82.489998</v>
      </c>
      <c r="D58" s="1">
        <v>79.760002</v>
      </c>
      <c r="E58" s="1">
        <v>82.370003</v>
      </c>
      <c r="F58" s="1">
        <v>80.105362</v>
      </c>
      <c r="G58" s="1">
        <v>2.70363E7</v>
      </c>
      <c r="H58" s="6">
        <v>10.92</v>
      </c>
    </row>
    <row r="59">
      <c r="A59" s="9">
        <v>44650.0</v>
      </c>
      <c r="B59" s="1">
        <v>83.059998</v>
      </c>
      <c r="C59" s="1">
        <v>84.010002</v>
      </c>
      <c r="D59" s="1">
        <v>82.709999</v>
      </c>
      <c r="E59" s="1">
        <v>83.779999</v>
      </c>
      <c r="F59" s="1">
        <v>81.476593</v>
      </c>
      <c r="G59" s="1">
        <v>2.2079E7</v>
      </c>
      <c r="H59" s="6">
        <v>11.12</v>
      </c>
    </row>
    <row r="60">
      <c r="A60" s="9">
        <v>44651.0</v>
      </c>
      <c r="B60" s="1">
        <v>82.870003</v>
      </c>
      <c r="C60" s="1">
        <v>84.400002</v>
      </c>
      <c r="D60" s="1">
        <v>82.550003</v>
      </c>
      <c r="E60" s="1">
        <v>82.589996</v>
      </c>
      <c r="F60" s="1">
        <v>80.319305</v>
      </c>
      <c r="G60" s="1">
        <v>2.78615E7</v>
      </c>
      <c r="H60" s="6">
        <v>10.74</v>
      </c>
    </row>
    <row r="61">
      <c r="A61" s="9">
        <v>44652.0</v>
      </c>
      <c r="B61" s="1">
        <v>81.989998</v>
      </c>
      <c r="C61" s="1">
        <v>84.139999</v>
      </c>
      <c r="D61" s="1">
        <v>81.989998</v>
      </c>
      <c r="E61" s="1">
        <v>83.120003</v>
      </c>
      <c r="F61" s="1">
        <v>80.83474</v>
      </c>
      <c r="G61" s="1">
        <v>1.86711E7</v>
      </c>
      <c r="H61" s="6">
        <v>10.94</v>
      </c>
    </row>
    <row r="62">
      <c r="A62" s="9">
        <v>44655.0</v>
      </c>
      <c r="B62" s="1">
        <v>83.559998</v>
      </c>
      <c r="C62" s="1">
        <v>83.660004</v>
      </c>
      <c r="D62" s="1">
        <v>82.050003</v>
      </c>
      <c r="E62" s="1">
        <v>83.160004</v>
      </c>
      <c r="F62" s="1">
        <v>80.87365</v>
      </c>
      <c r="G62" s="1">
        <v>2.08694E7</v>
      </c>
      <c r="H62" s="6">
        <v>11.12</v>
      </c>
    </row>
    <row r="63">
      <c r="A63" s="9">
        <v>44657.0</v>
      </c>
      <c r="B63" s="1">
        <v>83.419998</v>
      </c>
      <c r="C63" s="1">
        <v>84.699997</v>
      </c>
      <c r="D63" s="1">
        <v>82.940002</v>
      </c>
      <c r="E63" s="1">
        <v>83.650002</v>
      </c>
      <c r="F63" s="1">
        <v>81.350174</v>
      </c>
      <c r="G63" s="1">
        <v>2.47682E7</v>
      </c>
      <c r="H63" s="6">
        <v>11.7</v>
      </c>
    </row>
    <row r="64">
      <c r="A64" s="9">
        <v>44658.0</v>
      </c>
      <c r="B64" s="1">
        <v>83.830002</v>
      </c>
      <c r="C64" s="1">
        <v>85.440002</v>
      </c>
      <c r="D64" s="1">
        <v>82.709999</v>
      </c>
      <c r="E64" s="1">
        <v>85.050003</v>
      </c>
      <c r="F64" s="1">
        <v>82.711678</v>
      </c>
      <c r="G64" s="1">
        <v>2.6122E7</v>
      </c>
      <c r="H64" s="6">
        <v>11.36</v>
      </c>
    </row>
    <row r="65">
      <c r="A65" s="9">
        <v>44659.0</v>
      </c>
      <c r="B65" s="1">
        <v>85.169998</v>
      </c>
      <c r="C65" s="1">
        <v>87.209999</v>
      </c>
      <c r="D65" s="1">
        <v>85.169998</v>
      </c>
      <c r="E65" s="1">
        <v>86.839996</v>
      </c>
      <c r="F65" s="1">
        <v>84.452461</v>
      </c>
      <c r="G65" s="1">
        <v>2.48665E7</v>
      </c>
      <c r="H65" s="6">
        <v>11.66</v>
      </c>
    </row>
    <row r="66">
      <c r="A66" s="9">
        <v>44662.0</v>
      </c>
      <c r="B66" s="1">
        <v>85.779999</v>
      </c>
      <c r="C66" s="1">
        <v>85.93</v>
      </c>
      <c r="D66" s="1">
        <v>83.5</v>
      </c>
      <c r="E66" s="1">
        <v>83.849998</v>
      </c>
      <c r="F66" s="1">
        <v>81.54467</v>
      </c>
      <c r="G66" s="1">
        <v>2.18001E7</v>
      </c>
      <c r="H66" s="6">
        <v>11.16</v>
      </c>
    </row>
    <row r="67">
      <c r="A67" s="9">
        <v>44663.0</v>
      </c>
      <c r="B67" s="1">
        <v>85.709999</v>
      </c>
      <c r="C67" s="1">
        <v>86.82</v>
      </c>
      <c r="D67" s="1">
        <v>85.379997</v>
      </c>
      <c r="E67" s="1">
        <v>85.599998</v>
      </c>
      <c r="F67" s="1">
        <v>83.246559</v>
      </c>
      <c r="G67" s="1">
        <v>2.24442E7</v>
      </c>
      <c r="H67" s="6">
        <v>11.06</v>
      </c>
    </row>
    <row r="68">
      <c r="A68" s="9">
        <v>44664.0</v>
      </c>
      <c r="B68" s="1">
        <v>86.610001</v>
      </c>
      <c r="C68" s="1">
        <v>87.110001</v>
      </c>
      <c r="D68" s="1">
        <v>85.190002</v>
      </c>
      <c r="E68" s="1">
        <v>86.809998</v>
      </c>
      <c r="F68" s="1">
        <v>84.423294</v>
      </c>
      <c r="G68" s="1">
        <v>1.93068E7</v>
      </c>
      <c r="H68" s="6">
        <v>11.46</v>
      </c>
    </row>
    <row r="69">
      <c r="A69" s="9">
        <v>44665.0</v>
      </c>
      <c r="B69" s="1">
        <v>86.669998</v>
      </c>
      <c r="C69" s="1">
        <v>88.459999</v>
      </c>
      <c r="D69" s="1">
        <v>86.230003</v>
      </c>
      <c r="E69" s="1">
        <v>87.830002</v>
      </c>
      <c r="F69" s="1">
        <v>85.415245</v>
      </c>
      <c r="G69" s="1">
        <v>2.45664E7</v>
      </c>
      <c r="H69" s="6">
        <v>11.56</v>
      </c>
    </row>
    <row r="70">
      <c r="A70" s="9">
        <v>44670.0</v>
      </c>
      <c r="B70" s="1">
        <v>88.010002</v>
      </c>
      <c r="C70" s="1">
        <v>88.660004</v>
      </c>
      <c r="D70" s="1">
        <v>87.269997</v>
      </c>
      <c r="E70" s="1">
        <v>87.760002</v>
      </c>
      <c r="F70" s="1">
        <v>85.347176</v>
      </c>
      <c r="G70" s="1">
        <v>2.03826E7</v>
      </c>
      <c r="H70" s="6">
        <v>11.64</v>
      </c>
    </row>
    <row r="71">
      <c r="A71" s="9">
        <v>44671.0</v>
      </c>
      <c r="B71" s="1">
        <v>87.970001</v>
      </c>
      <c r="C71" s="1">
        <v>88.5</v>
      </c>
      <c r="D71" s="1">
        <v>87.300003</v>
      </c>
      <c r="E71" s="1">
        <v>87.959999</v>
      </c>
      <c r="F71" s="1">
        <v>85.541664</v>
      </c>
      <c r="G71" s="1">
        <v>2.06894E7</v>
      </c>
      <c r="H71" s="6">
        <v>11.16</v>
      </c>
    </row>
    <row r="72">
      <c r="A72" s="9">
        <v>44672.0</v>
      </c>
      <c r="B72" s="1">
        <v>88.949997</v>
      </c>
      <c r="C72" s="1">
        <v>89.800003</v>
      </c>
      <c r="D72" s="1">
        <v>86.790001</v>
      </c>
      <c r="E72" s="1">
        <v>87.029999</v>
      </c>
      <c r="F72" s="1">
        <v>84.637238</v>
      </c>
      <c r="G72" s="1">
        <v>2.90109E7</v>
      </c>
      <c r="H72" s="6">
        <v>10.88</v>
      </c>
    </row>
    <row r="73">
      <c r="A73" s="9">
        <v>44673.0</v>
      </c>
      <c r="B73" s="1">
        <v>86.660004</v>
      </c>
      <c r="C73" s="1">
        <v>88.120003</v>
      </c>
      <c r="D73" s="1">
        <v>85.0</v>
      </c>
      <c r="E73" s="1">
        <v>85.129997</v>
      </c>
      <c r="F73" s="1">
        <v>82.789474</v>
      </c>
      <c r="G73" s="1">
        <v>2.35916E7</v>
      </c>
      <c r="H73" s="6">
        <v>11.0</v>
      </c>
    </row>
    <row r="74">
      <c r="A74" s="9">
        <v>44676.0</v>
      </c>
      <c r="B74" s="1">
        <v>82.370003</v>
      </c>
      <c r="C74" s="1">
        <v>82.660004</v>
      </c>
      <c r="D74" s="1">
        <v>79.290001</v>
      </c>
      <c r="E74" s="1">
        <v>82.260002</v>
      </c>
      <c r="F74" s="1">
        <v>79.99839</v>
      </c>
      <c r="G74" s="1">
        <v>3.76983E7</v>
      </c>
      <c r="H74" s="6">
        <v>10.2</v>
      </c>
    </row>
    <row r="75">
      <c r="A75" s="9">
        <v>44677.0</v>
      </c>
      <c r="B75" s="1">
        <v>82.730003</v>
      </c>
      <c r="C75" s="1">
        <v>84.720001</v>
      </c>
      <c r="D75" s="1">
        <v>82.18</v>
      </c>
      <c r="E75" s="1">
        <v>82.290001</v>
      </c>
      <c r="F75" s="1">
        <v>80.027565</v>
      </c>
      <c r="G75" s="1">
        <v>2.89415E7</v>
      </c>
      <c r="H75" s="6">
        <v>9.8</v>
      </c>
    </row>
    <row r="76">
      <c r="A76" s="9">
        <v>44678.0</v>
      </c>
      <c r="B76" s="1">
        <v>83.389999</v>
      </c>
      <c r="C76" s="1">
        <v>85.480003</v>
      </c>
      <c r="D76" s="1">
        <v>82.279999</v>
      </c>
      <c r="E76" s="1">
        <v>84.639999</v>
      </c>
      <c r="F76" s="1">
        <v>82.312943</v>
      </c>
      <c r="G76" s="1">
        <v>3.2773E7</v>
      </c>
      <c r="H76" s="6">
        <v>10.46</v>
      </c>
    </row>
    <row r="77">
      <c r="A77" s="9">
        <v>44679.0</v>
      </c>
      <c r="B77" s="1">
        <v>84.879997</v>
      </c>
      <c r="C77" s="1">
        <v>88.139999</v>
      </c>
      <c r="D77" s="1">
        <v>84.07</v>
      </c>
      <c r="E77" s="1">
        <v>87.199997</v>
      </c>
      <c r="F77" s="1">
        <v>84.802567</v>
      </c>
      <c r="G77" s="1">
        <v>3.36838E7</v>
      </c>
      <c r="H77" s="6">
        <v>10.84</v>
      </c>
    </row>
    <row r="78">
      <c r="A78" s="9">
        <v>44680.0</v>
      </c>
      <c r="B78" s="1">
        <v>88.139999</v>
      </c>
      <c r="C78" s="1">
        <v>88.139999</v>
      </c>
      <c r="D78" s="1">
        <v>84.699997</v>
      </c>
      <c r="E78" s="1">
        <v>85.25</v>
      </c>
      <c r="F78" s="1">
        <v>82.906181</v>
      </c>
      <c r="G78" s="1">
        <v>3.46565E7</v>
      </c>
      <c r="H78" s="6">
        <v>11.22</v>
      </c>
    </row>
    <row r="79">
      <c r="A79" s="9">
        <v>44684.0</v>
      </c>
      <c r="B79" s="1">
        <v>86.260002</v>
      </c>
      <c r="C79" s="1">
        <v>88.779999</v>
      </c>
      <c r="D79" s="1">
        <v>86.120003</v>
      </c>
      <c r="E79" s="1">
        <v>88.190002</v>
      </c>
      <c r="F79" s="1">
        <v>85.765343</v>
      </c>
      <c r="G79" s="1">
        <v>3.39081E7</v>
      </c>
      <c r="H79" s="6">
        <v>11.1</v>
      </c>
    </row>
    <row r="80">
      <c r="A80" s="9">
        <v>44685.0</v>
      </c>
      <c r="B80" s="1">
        <v>89.5</v>
      </c>
      <c r="C80" s="1">
        <v>91.879997</v>
      </c>
      <c r="D80" s="1">
        <v>88.910004</v>
      </c>
      <c r="E80" s="1">
        <v>91.699997</v>
      </c>
      <c r="F80" s="1">
        <v>89.178841</v>
      </c>
      <c r="G80" s="1">
        <v>4.61884E7</v>
      </c>
      <c r="H80" s="6">
        <v>10.94</v>
      </c>
    </row>
    <row r="81">
      <c r="A81" s="9">
        <v>44686.0</v>
      </c>
      <c r="B81" s="1">
        <v>92.040001</v>
      </c>
      <c r="C81" s="1">
        <v>92.050003</v>
      </c>
      <c r="D81" s="1">
        <v>88.389999</v>
      </c>
      <c r="E81" s="1">
        <v>90.309998</v>
      </c>
      <c r="F81" s="1">
        <v>87.827057</v>
      </c>
      <c r="G81" s="1">
        <v>4.10134E7</v>
      </c>
      <c r="H81" s="6">
        <v>11.02</v>
      </c>
    </row>
    <row r="82">
      <c r="A82" s="9">
        <v>44687.0</v>
      </c>
      <c r="B82" s="1">
        <v>90.980003</v>
      </c>
      <c r="C82" s="1">
        <v>91.82</v>
      </c>
      <c r="D82" s="1">
        <v>89.349998</v>
      </c>
      <c r="E82" s="1">
        <v>91.690002</v>
      </c>
      <c r="F82" s="1">
        <v>89.169128</v>
      </c>
      <c r="G82" s="1">
        <v>2.96193E7</v>
      </c>
      <c r="H82" s="6">
        <v>10.9</v>
      </c>
    </row>
    <row r="83">
      <c r="A83" s="9">
        <v>44691.0</v>
      </c>
      <c r="B83" s="1">
        <v>85.639999</v>
      </c>
      <c r="C83" s="1">
        <v>86.889999</v>
      </c>
      <c r="D83" s="1">
        <v>83.519997</v>
      </c>
      <c r="E83" s="1">
        <v>85.019997</v>
      </c>
      <c r="F83" s="1">
        <v>82.682495</v>
      </c>
      <c r="G83" s="1">
        <v>3.44832E7</v>
      </c>
      <c r="H83" s="6">
        <v>10.52</v>
      </c>
    </row>
    <row r="84">
      <c r="A84" s="9">
        <v>44692.0</v>
      </c>
      <c r="B84" s="1">
        <v>86.43</v>
      </c>
      <c r="C84" s="1">
        <v>88.940002</v>
      </c>
      <c r="D84" s="1">
        <v>86.279999</v>
      </c>
      <c r="E84" s="1">
        <v>86.790001</v>
      </c>
      <c r="F84" s="1">
        <v>84.403839</v>
      </c>
      <c r="G84" s="1">
        <v>3.30206E7</v>
      </c>
      <c r="H84" s="6">
        <v>10.52</v>
      </c>
    </row>
    <row r="85">
      <c r="A85" s="9">
        <v>44693.0</v>
      </c>
      <c r="B85" s="1">
        <v>85.949997</v>
      </c>
      <c r="C85" s="1">
        <v>86.379997</v>
      </c>
      <c r="D85" s="1">
        <v>83.400002</v>
      </c>
      <c r="E85" s="1">
        <v>86.300003</v>
      </c>
      <c r="F85" s="1">
        <v>84.787003</v>
      </c>
      <c r="G85" s="1">
        <v>2.94915E7</v>
      </c>
      <c r="H85" s="6">
        <v>10.52</v>
      </c>
    </row>
    <row r="86">
      <c r="A86" s="9">
        <v>44694.0</v>
      </c>
      <c r="B86" s="1">
        <v>87.360001</v>
      </c>
      <c r="C86" s="1">
        <v>88.949997</v>
      </c>
      <c r="D86" s="1">
        <v>86.349998</v>
      </c>
      <c r="E86" s="1">
        <v>88.860001</v>
      </c>
      <c r="F86" s="1">
        <v>87.302116</v>
      </c>
      <c r="G86" s="1">
        <v>2.57984E7</v>
      </c>
      <c r="H86" s="6">
        <v>10.66</v>
      </c>
    </row>
    <row r="87">
      <c r="A87" s="9">
        <v>44697.0</v>
      </c>
      <c r="B87" s="1">
        <v>88.980003</v>
      </c>
      <c r="C87" s="1">
        <v>91.980003</v>
      </c>
      <c r="D87" s="1">
        <v>88.970001</v>
      </c>
      <c r="E87" s="1">
        <v>90.949997</v>
      </c>
      <c r="F87" s="1">
        <v>89.355476</v>
      </c>
      <c r="G87" s="1">
        <v>2.61012E7</v>
      </c>
      <c r="H87" s="6">
        <v>10.68</v>
      </c>
    </row>
    <row r="88">
      <c r="A88" s="9">
        <v>44698.0</v>
      </c>
      <c r="B88" s="1">
        <v>91.730003</v>
      </c>
      <c r="C88" s="1">
        <v>92.449997</v>
      </c>
      <c r="D88" s="1">
        <v>91.120003</v>
      </c>
      <c r="E88" s="1">
        <v>92.110001</v>
      </c>
      <c r="F88" s="1">
        <v>90.49514</v>
      </c>
      <c r="G88" s="1">
        <v>2.31207E7</v>
      </c>
      <c r="H88" s="6">
        <v>10.98</v>
      </c>
    </row>
    <row r="89">
      <c r="A89" s="9">
        <v>44699.0</v>
      </c>
      <c r="B89" s="1">
        <v>92.510002</v>
      </c>
      <c r="C89" s="1">
        <v>92.919998</v>
      </c>
      <c r="D89" s="1">
        <v>89.830002</v>
      </c>
      <c r="E89" s="1">
        <v>90.650002</v>
      </c>
      <c r="F89" s="1">
        <v>89.060745</v>
      </c>
      <c r="G89" s="1">
        <v>2.54512E7</v>
      </c>
      <c r="H89" s="6">
        <v>11.08</v>
      </c>
    </row>
    <row r="90">
      <c r="A90" s="9">
        <v>44700.0</v>
      </c>
      <c r="B90" s="1">
        <v>89.0</v>
      </c>
      <c r="C90" s="1">
        <v>92.300003</v>
      </c>
      <c r="D90" s="1">
        <v>89.0</v>
      </c>
      <c r="E90" s="1">
        <v>91.139999</v>
      </c>
      <c r="F90" s="1">
        <v>89.542152</v>
      </c>
      <c r="G90" s="1">
        <v>2.43874E7</v>
      </c>
      <c r="H90" s="6">
        <v>10.82</v>
      </c>
    </row>
    <row r="91">
      <c r="A91" s="9">
        <v>44701.0</v>
      </c>
      <c r="B91" s="1">
        <v>91.93</v>
      </c>
      <c r="C91" s="1">
        <v>93.589996</v>
      </c>
      <c r="D91" s="1">
        <v>90.400002</v>
      </c>
      <c r="E91" s="1">
        <v>91.860001</v>
      </c>
      <c r="F91" s="1">
        <v>90.249527</v>
      </c>
      <c r="G91" s="1">
        <v>2.8795E7</v>
      </c>
      <c r="H91" s="6">
        <v>11.14</v>
      </c>
    </row>
    <row r="92">
      <c r="A92" s="9">
        <v>44704.0</v>
      </c>
      <c r="B92" s="1">
        <v>92.660004</v>
      </c>
      <c r="C92" s="1">
        <v>94.769997</v>
      </c>
      <c r="D92" s="1">
        <v>92.550003</v>
      </c>
      <c r="E92" s="1">
        <v>93.889999</v>
      </c>
      <c r="F92" s="1">
        <v>92.243935</v>
      </c>
      <c r="G92" s="1">
        <v>2.72393E7</v>
      </c>
      <c r="H92" s="6">
        <v>11.3</v>
      </c>
    </row>
    <row r="93">
      <c r="A93" s="9">
        <v>44705.0</v>
      </c>
      <c r="B93" s="1">
        <v>92.82</v>
      </c>
      <c r="C93" s="1">
        <v>94.790001</v>
      </c>
      <c r="D93" s="1">
        <v>92.32</v>
      </c>
      <c r="E93" s="1">
        <v>94.400002</v>
      </c>
      <c r="F93" s="1">
        <v>92.744995</v>
      </c>
      <c r="G93" s="1">
        <v>2.42933E7</v>
      </c>
      <c r="H93" s="6">
        <v>11.22</v>
      </c>
    </row>
    <row r="94">
      <c r="A94" s="9">
        <v>44706.0</v>
      </c>
      <c r="B94" s="1">
        <v>94.580002</v>
      </c>
      <c r="C94" s="1">
        <v>96.529999</v>
      </c>
      <c r="D94" s="1">
        <v>94.470001</v>
      </c>
      <c r="E94" s="1">
        <v>96.300003</v>
      </c>
      <c r="F94" s="1">
        <v>94.611679</v>
      </c>
      <c r="G94" s="1">
        <v>2.99478E7</v>
      </c>
      <c r="H94" s="6">
        <v>11.42</v>
      </c>
    </row>
    <row r="95">
      <c r="A95" s="9">
        <v>44707.0</v>
      </c>
      <c r="B95" s="1">
        <v>96.599998</v>
      </c>
      <c r="C95" s="1">
        <v>97.43</v>
      </c>
      <c r="D95" s="1">
        <v>96.199997</v>
      </c>
      <c r="E95" s="1">
        <v>96.639999</v>
      </c>
      <c r="F95" s="1">
        <v>94.945724</v>
      </c>
      <c r="G95" s="1">
        <v>2.43148E7</v>
      </c>
      <c r="H95" s="6">
        <v>11.6</v>
      </c>
    </row>
    <row r="96">
      <c r="A96" s="9">
        <v>44708.0</v>
      </c>
      <c r="B96" s="1">
        <v>95.949997</v>
      </c>
      <c r="C96" s="1">
        <v>97.93</v>
      </c>
      <c r="D96" s="1">
        <v>95.300003</v>
      </c>
      <c r="E96" s="1">
        <v>97.589996</v>
      </c>
      <c r="F96" s="1">
        <v>95.879059</v>
      </c>
      <c r="G96" s="1">
        <v>2.55888E7</v>
      </c>
      <c r="H96" s="6">
        <v>12.0</v>
      </c>
    </row>
    <row r="97">
      <c r="A97" s="9">
        <v>44712.0</v>
      </c>
      <c r="B97" s="1">
        <v>98.559998</v>
      </c>
      <c r="C97" s="1">
        <v>99.779999</v>
      </c>
      <c r="D97" s="1">
        <v>95.709999</v>
      </c>
      <c r="E97" s="1">
        <v>96.0</v>
      </c>
      <c r="F97" s="1">
        <v>94.316948</v>
      </c>
      <c r="G97" s="1">
        <v>4.48881E7</v>
      </c>
      <c r="H97" s="6">
        <v>12.42</v>
      </c>
    </row>
    <row r="98">
      <c r="A98" s="9">
        <v>44713.0</v>
      </c>
      <c r="B98" s="1">
        <v>97.019997</v>
      </c>
      <c r="C98" s="1">
        <v>98.709999</v>
      </c>
      <c r="D98" s="1">
        <v>96.620003</v>
      </c>
      <c r="E98" s="1">
        <v>97.839996</v>
      </c>
      <c r="F98" s="1">
        <v>96.12468</v>
      </c>
      <c r="G98" s="1">
        <v>2.58154E7</v>
      </c>
      <c r="H98" s="6">
        <v>12.2</v>
      </c>
    </row>
    <row r="99">
      <c r="A99" s="9">
        <v>44714.0</v>
      </c>
      <c r="B99" s="1">
        <v>97.290001</v>
      </c>
      <c r="C99" s="1">
        <v>98.099998</v>
      </c>
      <c r="D99" s="1">
        <v>96.790001</v>
      </c>
      <c r="E99" s="1">
        <v>97.669998</v>
      </c>
      <c r="F99" s="1">
        <v>95.957657</v>
      </c>
      <c r="G99" s="1">
        <v>1.90891E7</v>
      </c>
      <c r="H99" s="6">
        <v>12.04</v>
      </c>
    </row>
    <row r="100">
      <c r="A100" s="9">
        <v>44718.0</v>
      </c>
      <c r="B100" s="1">
        <v>99.18</v>
      </c>
      <c r="C100" s="1">
        <v>99.779999</v>
      </c>
      <c r="D100" s="1">
        <v>98.669998</v>
      </c>
      <c r="E100" s="1">
        <v>98.839996</v>
      </c>
      <c r="F100" s="1">
        <v>97.107147</v>
      </c>
      <c r="G100" s="1">
        <v>2.06821E7</v>
      </c>
      <c r="H100" s="6">
        <v>12.2</v>
      </c>
    </row>
    <row r="101">
      <c r="A101" s="9">
        <v>44719.0</v>
      </c>
      <c r="B101" s="1">
        <v>99.699997</v>
      </c>
      <c r="C101" s="1">
        <v>103.43</v>
      </c>
      <c r="D101" s="1">
        <v>99.489998</v>
      </c>
      <c r="E101" s="1">
        <v>103.370003</v>
      </c>
      <c r="F101" s="1">
        <v>101.557732</v>
      </c>
      <c r="G101" s="1">
        <v>3.78102E7</v>
      </c>
      <c r="H101" s="6">
        <v>12.1</v>
      </c>
    </row>
    <row r="102">
      <c r="A102" s="9">
        <v>44720.0</v>
      </c>
      <c r="B102" s="1">
        <v>103.489998</v>
      </c>
      <c r="C102" s="1">
        <v>105.57</v>
      </c>
      <c r="D102" s="1">
        <v>102.980003</v>
      </c>
      <c r="E102" s="1">
        <v>104.589996</v>
      </c>
      <c r="F102" s="1">
        <v>102.75634</v>
      </c>
      <c r="G102" s="1">
        <v>3.16132E7</v>
      </c>
      <c r="H102" s="6">
        <v>12.36</v>
      </c>
    </row>
    <row r="103">
      <c r="A103" s="9">
        <v>44721.0</v>
      </c>
      <c r="B103" s="1">
        <v>103.419998</v>
      </c>
      <c r="C103" s="1">
        <v>104.57</v>
      </c>
      <c r="D103" s="1">
        <v>102.160004</v>
      </c>
      <c r="E103" s="1">
        <v>102.330002</v>
      </c>
      <c r="F103" s="1">
        <v>100.535973</v>
      </c>
      <c r="G103" s="1">
        <v>2.6607E7</v>
      </c>
      <c r="H103" s="6">
        <v>11.42</v>
      </c>
    </row>
    <row r="104">
      <c r="A104" s="9">
        <v>44722.0</v>
      </c>
      <c r="B104" s="1">
        <v>101.940002</v>
      </c>
      <c r="C104" s="1">
        <v>103.349998</v>
      </c>
      <c r="D104" s="1">
        <v>99.790001</v>
      </c>
      <c r="E104" s="1">
        <v>100.459999</v>
      </c>
      <c r="F104" s="1">
        <v>98.698746</v>
      </c>
      <c r="G104" s="1">
        <v>3.09505E7</v>
      </c>
      <c r="H104" s="6">
        <v>11.38</v>
      </c>
    </row>
    <row r="105">
      <c r="A105" s="9">
        <v>44725.0</v>
      </c>
      <c r="B105" s="1">
        <v>97.519997</v>
      </c>
      <c r="C105" s="1">
        <v>97.769997</v>
      </c>
      <c r="D105" s="1">
        <v>93.919998</v>
      </c>
      <c r="E105" s="1">
        <v>95.849998</v>
      </c>
      <c r="F105" s="1">
        <v>94.169571</v>
      </c>
      <c r="G105" s="1">
        <v>3.3421E7</v>
      </c>
      <c r="H105" s="6">
        <v>11.28</v>
      </c>
    </row>
    <row r="106">
      <c r="A106" s="9">
        <v>44726.0</v>
      </c>
      <c r="B106" s="1">
        <v>97.410004</v>
      </c>
      <c r="C106" s="1">
        <v>98.669998</v>
      </c>
      <c r="D106" s="1">
        <v>95.269997</v>
      </c>
      <c r="E106" s="1">
        <v>96.099998</v>
      </c>
      <c r="F106" s="1">
        <v>94.415192</v>
      </c>
      <c r="G106" s="1">
        <v>3.1264E7</v>
      </c>
      <c r="H106" s="6">
        <v>11.18</v>
      </c>
    </row>
    <row r="107">
      <c r="A107" s="9">
        <v>44727.0</v>
      </c>
      <c r="B107" s="1">
        <v>95.989998</v>
      </c>
      <c r="C107" s="1">
        <v>96.57</v>
      </c>
      <c r="D107" s="1">
        <v>93.269997</v>
      </c>
      <c r="E107" s="1">
        <v>94.889999</v>
      </c>
      <c r="F107" s="1">
        <v>93.226402</v>
      </c>
      <c r="G107" s="1">
        <v>2.96208E7</v>
      </c>
      <c r="H107" s="6">
        <v>11.02</v>
      </c>
    </row>
    <row r="108">
      <c r="A108" s="9">
        <v>44728.0</v>
      </c>
      <c r="B108" s="1">
        <v>92.410004</v>
      </c>
      <c r="C108" s="1">
        <v>93.129997</v>
      </c>
      <c r="D108" s="1">
        <v>90.279999</v>
      </c>
      <c r="E108" s="1">
        <v>91.389999</v>
      </c>
      <c r="F108" s="1">
        <v>89.787766</v>
      </c>
      <c r="G108" s="1">
        <v>3.56967E7</v>
      </c>
      <c r="H108" s="6">
        <v>10.6</v>
      </c>
    </row>
    <row r="109">
      <c r="A109" s="9">
        <v>44729.0</v>
      </c>
      <c r="B109" s="1">
        <v>90.959999</v>
      </c>
      <c r="C109" s="1">
        <v>91.349998</v>
      </c>
      <c r="D109" s="1">
        <v>85.660004</v>
      </c>
      <c r="E109" s="1">
        <v>86.120003</v>
      </c>
      <c r="F109" s="1">
        <v>84.610161</v>
      </c>
      <c r="G109" s="1">
        <v>6.46102E7</v>
      </c>
      <c r="H109" s="6">
        <v>10.52</v>
      </c>
    </row>
    <row r="110">
      <c r="A110" s="9">
        <v>44733.0</v>
      </c>
      <c r="B110" s="1">
        <v>88.580002</v>
      </c>
      <c r="C110" s="1">
        <v>92.529999</v>
      </c>
      <c r="D110" s="1">
        <v>88.519997</v>
      </c>
      <c r="E110" s="1">
        <v>91.480003</v>
      </c>
      <c r="F110" s="1">
        <v>89.87619</v>
      </c>
      <c r="G110" s="1">
        <v>3.59515E7</v>
      </c>
      <c r="H110" s="6">
        <v>10.22</v>
      </c>
    </row>
    <row r="111">
      <c r="A111" s="9">
        <v>44734.0</v>
      </c>
      <c r="B111" s="1">
        <v>87.540001</v>
      </c>
      <c r="C111" s="1">
        <v>89.760002</v>
      </c>
      <c r="D111" s="1">
        <v>87.529999</v>
      </c>
      <c r="E111" s="1">
        <v>87.860001</v>
      </c>
      <c r="F111" s="1">
        <v>86.319649</v>
      </c>
      <c r="G111" s="1">
        <v>2.97272E7</v>
      </c>
      <c r="H111" s="6">
        <v>9.83</v>
      </c>
    </row>
    <row r="112">
      <c r="A112" s="9">
        <v>44735.0</v>
      </c>
      <c r="B112" s="1">
        <v>88.660004</v>
      </c>
      <c r="C112" s="1">
        <v>89.050003</v>
      </c>
      <c r="D112" s="1">
        <v>83.519997</v>
      </c>
      <c r="E112" s="1">
        <v>85.209999</v>
      </c>
      <c r="F112" s="1">
        <v>83.71611</v>
      </c>
      <c r="G112" s="1">
        <v>3.57572E7</v>
      </c>
      <c r="H112" s="6">
        <v>10.0</v>
      </c>
    </row>
    <row r="113">
      <c r="A113" s="9">
        <v>44736.0</v>
      </c>
      <c r="B113" s="1">
        <v>86.949997</v>
      </c>
      <c r="C113" s="1">
        <v>88.400002</v>
      </c>
      <c r="D113" s="1">
        <v>85.809998</v>
      </c>
      <c r="E113" s="1">
        <v>86.900002</v>
      </c>
      <c r="F113" s="1">
        <v>85.376488</v>
      </c>
      <c r="G113" s="1">
        <v>2.6639E7</v>
      </c>
      <c r="H113" s="6">
        <v>9.86</v>
      </c>
    </row>
    <row r="114">
      <c r="A114" s="9">
        <v>44739.0</v>
      </c>
      <c r="B114" s="1">
        <v>87.809998</v>
      </c>
      <c r="C114" s="1">
        <v>90.040001</v>
      </c>
      <c r="D114" s="1">
        <v>87.669998</v>
      </c>
      <c r="E114" s="1">
        <v>89.029999</v>
      </c>
      <c r="F114" s="1">
        <v>87.469139</v>
      </c>
      <c r="G114" s="1">
        <v>2.54787E7</v>
      </c>
      <c r="H114" s="6">
        <v>10.12</v>
      </c>
    </row>
    <row r="115">
      <c r="A115" s="9">
        <v>44740.0</v>
      </c>
      <c r="B115" s="1">
        <v>91.120003</v>
      </c>
      <c r="C115" s="1">
        <v>93.239998</v>
      </c>
      <c r="D115" s="1">
        <v>90.349998</v>
      </c>
      <c r="E115" s="1">
        <v>91.5</v>
      </c>
      <c r="F115" s="1">
        <v>89.895836</v>
      </c>
      <c r="G115" s="1">
        <v>3.30969E7</v>
      </c>
      <c r="H115" s="6">
        <v>10.48</v>
      </c>
    </row>
    <row r="116">
      <c r="A116" s="9">
        <v>44741.0</v>
      </c>
      <c r="B116" s="1">
        <v>92.980003</v>
      </c>
      <c r="C116" s="1">
        <v>93.199997</v>
      </c>
      <c r="D116" s="1">
        <v>87.760002</v>
      </c>
      <c r="E116" s="1">
        <v>88.120003</v>
      </c>
      <c r="F116" s="1">
        <v>86.575096</v>
      </c>
      <c r="G116" s="1">
        <v>2.54009E7</v>
      </c>
      <c r="H116" s="6">
        <v>10.44</v>
      </c>
    </row>
    <row r="117">
      <c r="A117" s="9">
        <v>44742.0</v>
      </c>
      <c r="B117" s="1">
        <v>86.139999</v>
      </c>
      <c r="C117" s="1">
        <v>87.599998</v>
      </c>
      <c r="D117" s="1">
        <v>84.669998</v>
      </c>
      <c r="E117" s="1">
        <v>85.639999</v>
      </c>
      <c r="F117" s="1">
        <v>84.138573</v>
      </c>
      <c r="G117" s="1">
        <v>3.99481E7</v>
      </c>
      <c r="H117" s="6">
        <v>10.36</v>
      </c>
    </row>
    <row r="118">
      <c r="A118" s="9">
        <v>44747.0</v>
      </c>
      <c r="B118" s="1">
        <v>86.339996</v>
      </c>
      <c r="C118" s="1">
        <v>86.699997</v>
      </c>
      <c r="D118" s="1">
        <v>83.010002</v>
      </c>
      <c r="E118" s="1">
        <v>84.809998</v>
      </c>
      <c r="F118" s="1">
        <v>83.32312</v>
      </c>
      <c r="G118" s="1">
        <v>3.45911E7</v>
      </c>
      <c r="H118" s="6">
        <v>10.4</v>
      </c>
    </row>
    <row r="119">
      <c r="A119" s="9">
        <v>44748.0</v>
      </c>
      <c r="B119" s="1">
        <v>83.760002</v>
      </c>
      <c r="C119" s="1">
        <v>85.230003</v>
      </c>
      <c r="D119" s="1">
        <v>81.010002</v>
      </c>
      <c r="E119" s="1">
        <v>83.279999</v>
      </c>
      <c r="F119" s="1">
        <v>81.819946</v>
      </c>
      <c r="G119" s="1">
        <v>3.33757E7</v>
      </c>
      <c r="H119" s="6">
        <v>9.9</v>
      </c>
    </row>
    <row r="120">
      <c r="A120" s="9">
        <v>44749.0</v>
      </c>
      <c r="B120" s="1">
        <v>85.379997</v>
      </c>
      <c r="C120" s="1">
        <v>86.760002</v>
      </c>
      <c r="D120" s="1">
        <v>85.300003</v>
      </c>
      <c r="E120" s="1">
        <v>85.940002</v>
      </c>
      <c r="F120" s="1">
        <v>84.433319</v>
      </c>
      <c r="G120" s="1">
        <v>2.38174E7</v>
      </c>
      <c r="H120" s="6">
        <v>9.84</v>
      </c>
    </row>
    <row r="121">
      <c r="A121" s="9">
        <v>44750.0</v>
      </c>
      <c r="B121" s="1">
        <v>86.949997</v>
      </c>
      <c r="C121" s="1">
        <v>87.300003</v>
      </c>
      <c r="D121" s="1">
        <v>84.93</v>
      </c>
      <c r="E121" s="1">
        <v>86.080002</v>
      </c>
      <c r="F121" s="1">
        <v>84.570862</v>
      </c>
      <c r="G121" s="1">
        <v>1.76738E7</v>
      </c>
      <c r="H121" s="6">
        <v>9.89</v>
      </c>
    </row>
    <row r="122">
      <c r="A122" s="9">
        <v>44753.0</v>
      </c>
      <c r="B122" s="1">
        <v>85.169998</v>
      </c>
      <c r="C122" s="1">
        <v>86.120003</v>
      </c>
      <c r="D122" s="1">
        <v>84.360001</v>
      </c>
      <c r="E122" s="1">
        <v>85.639999</v>
      </c>
      <c r="F122" s="1">
        <v>84.138573</v>
      </c>
      <c r="G122" s="1">
        <v>1.56038E7</v>
      </c>
      <c r="H122" s="6">
        <v>9.84</v>
      </c>
    </row>
    <row r="123">
      <c r="A123" s="9">
        <v>44754.0</v>
      </c>
      <c r="B123" s="1">
        <v>83.779999</v>
      </c>
      <c r="C123" s="1">
        <v>85.050003</v>
      </c>
      <c r="D123" s="1">
        <v>82.860001</v>
      </c>
      <c r="E123" s="1">
        <v>84.5</v>
      </c>
      <c r="F123" s="1">
        <v>83.018562</v>
      </c>
      <c r="G123" s="1">
        <v>2.1013E7</v>
      </c>
      <c r="H123" s="6">
        <v>9.8</v>
      </c>
    </row>
    <row r="124">
      <c r="A124" s="9">
        <v>44755.0</v>
      </c>
      <c r="B124" s="1">
        <v>83.379997</v>
      </c>
      <c r="C124" s="1">
        <v>86.309998</v>
      </c>
      <c r="D124" s="1">
        <v>83.300003</v>
      </c>
      <c r="E124" s="1">
        <v>84.839996</v>
      </c>
      <c r="F124" s="1">
        <v>83.352592</v>
      </c>
      <c r="G124" s="1">
        <v>1.99286E7</v>
      </c>
      <c r="H124" s="6">
        <v>9.58</v>
      </c>
    </row>
    <row r="125">
      <c r="A125" s="9">
        <v>44756.0</v>
      </c>
      <c r="B125" s="1">
        <v>81.849998</v>
      </c>
      <c r="C125" s="1">
        <v>83.309998</v>
      </c>
      <c r="D125" s="1">
        <v>80.690002</v>
      </c>
      <c r="E125" s="1">
        <v>83.139999</v>
      </c>
      <c r="F125" s="1">
        <v>81.682404</v>
      </c>
      <c r="G125" s="1">
        <v>2.6343E7</v>
      </c>
      <c r="H125" s="6">
        <v>9.47</v>
      </c>
    </row>
    <row r="126">
      <c r="A126" s="9">
        <v>44757.0</v>
      </c>
      <c r="B126" s="1">
        <v>84.800003</v>
      </c>
      <c r="C126" s="1">
        <v>84.879997</v>
      </c>
      <c r="D126" s="1">
        <v>82.900002</v>
      </c>
      <c r="E126" s="1">
        <v>84.540001</v>
      </c>
      <c r="F126" s="1">
        <v>83.057854</v>
      </c>
      <c r="G126" s="1">
        <v>1.72437E7</v>
      </c>
      <c r="H126" s="6">
        <v>9.32</v>
      </c>
    </row>
    <row r="127">
      <c r="A127" s="9">
        <v>44760.0</v>
      </c>
      <c r="B127" s="1">
        <v>86.580002</v>
      </c>
      <c r="C127" s="1">
        <v>87.940002</v>
      </c>
      <c r="D127" s="1">
        <v>85.75</v>
      </c>
      <c r="E127" s="1">
        <v>86.099998</v>
      </c>
      <c r="F127" s="1">
        <v>84.590508</v>
      </c>
      <c r="G127" s="1">
        <v>1.93958E7</v>
      </c>
      <c r="H127" s="6">
        <v>9.85</v>
      </c>
    </row>
    <row r="128">
      <c r="A128" s="9">
        <v>44761.0</v>
      </c>
      <c r="B128" s="1">
        <v>86.419998</v>
      </c>
      <c r="C128" s="1">
        <v>88.519997</v>
      </c>
      <c r="D128" s="1">
        <v>86.25</v>
      </c>
      <c r="E128" s="1">
        <v>88.269997</v>
      </c>
      <c r="F128" s="1">
        <v>86.722458</v>
      </c>
      <c r="G128" s="1">
        <v>1.82489E7</v>
      </c>
      <c r="H128" s="6">
        <v>9.96</v>
      </c>
    </row>
    <row r="129">
      <c r="A129" s="9">
        <v>44762.0</v>
      </c>
      <c r="B129" s="1">
        <v>87.580002</v>
      </c>
      <c r="C129" s="1">
        <v>89.650002</v>
      </c>
      <c r="D129" s="1">
        <v>87.25</v>
      </c>
      <c r="E129" s="1">
        <v>89.239998</v>
      </c>
      <c r="F129" s="1">
        <v>87.675453</v>
      </c>
      <c r="G129" s="1">
        <v>1.65844E7</v>
      </c>
      <c r="H129" s="6">
        <v>10.0</v>
      </c>
    </row>
    <row r="130">
      <c r="A130" s="9">
        <v>44763.0</v>
      </c>
      <c r="B130" s="1">
        <v>86.93</v>
      </c>
      <c r="C130" s="1">
        <v>87.800003</v>
      </c>
      <c r="D130" s="1">
        <v>85.209999</v>
      </c>
      <c r="E130" s="1">
        <v>87.75</v>
      </c>
      <c r="F130" s="1">
        <v>86.211578</v>
      </c>
      <c r="G130" s="1">
        <v>2.13757E7</v>
      </c>
      <c r="H130" s="6">
        <v>9.79</v>
      </c>
    </row>
    <row r="131">
      <c r="A131" s="9">
        <v>44764.0</v>
      </c>
      <c r="B131" s="1">
        <v>87.550003</v>
      </c>
      <c r="C131" s="1">
        <v>88.470001</v>
      </c>
      <c r="D131" s="1">
        <v>86.629997</v>
      </c>
      <c r="E131" s="1">
        <v>87.080002</v>
      </c>
      <c r="F131" s="1">
        <v>85.553322</v>
      </c>
      <c r="G131" s="1">
        <v>1.54795E7</v>
      </c>
      <c r="H131" s="6">
        <v>9.85</v>
      </c>
    </row>
    <row r="132">
      <c r="A132" s="9">
        <v>44767.0</v>
      </c>
      <c r="B132" s="1">
        <v>88.160004</v>
      </c>
      <c r="C132" s="1">
        <v>90.129997</v>
      </c>
      <c r="D132" s="1">
        <v>87.419998</v>
      </c>
      <c r="E132" s="1">
        <v>89.980003</v>
      </c>
      <c r="F132" s="1">
        <v>88.402489</v>
      </c>
      <c r="G132" s="1">
        <v>1.75364E7</v>
      </c>
      <c r="H132" s="6">
        <v>9.77</v>
      </c>
    </row>
    <row r="133">
      <c r="A133" s="9">
        <v>44768.0</v>
      </c>
      <c r="B133" s="1">
        <v>91.129997</v>
      </c>
      <c r="C133" s="1">
        <v>91.279999</v>
      </c>
      <c r="D133" s="1">
        <v>89.0</v>
      </c>
      <c r="E133" s="1">
        <v>89.629997</v>
      </c>
      <c r="F133" s="1">
        <v>88.058617</v>
      </c>
      <c r="G133" s="1">
        <v>1.51412E7</v>
      </c>
      <c r="H133" s="6">
        <v>10.0</v>
      </c>
    </row>
    <row r="134">
      <c r="A134" s="9">
        <v>44769.0</v>
      </c>
      <c r="B134" s="1">
        <v>90.279999</v>
      </c>
      <c r="C134" s="1">
        <v>92.0</v>
      </c>
      <c r="D134" s="1">
        <v>89.400002</v>
      </c>
      <c r="E134" s="1">
        <v>91.57</v>
      </c>
      <c r="F134" s="1">
        <v>89.964615</v>
      </c>
      <c r="G134" s="1">
        <v>1.8047E7</v>
      </c>
      <c r="H134" s="6">
        <v>9.94</v>
      </c>
    </row>
    <row r="135">
      <c r="A135" s="9">
        <v>44770.0</v>
      </c>
      <c r="B135" s="1">
        <v>92.18</v>
      </c>
      <c r="C135" s="1">
        <v>93.25</v>
      </c>
      <c r="D135" s="1">
        <v>91.010002</v>
      </c>
      <c r="E135" s="1">
        <v>92.639999</v>
      </c>
      <c r="F135" s="1">
        <v>91.015854</v>
      </c>
      <c r="G135" s="1">
        <v>2.03531E7</v>
      </c>
      <c r="H135" s="6">
        <v>10.1</v>
      </c>
    </row>
    <row r="136">
      <c r="A136" s="9">
        <v>44771.0</v>
      </c>
      <c r="B136" s="1">
        <v>94.449997</v>
      </c>
      <c r="C136" s="1">
        <v>97.519997</v>
      </c>
      <c r="D136" s="1">
        <v>94.099998</v>
      </c>
      <c r="E136" s="1">
        <v>96.93</v>
      </c>
      <c r="F136" s="1">
        <v>95.230637</v>
      </c>
      <c r="G136" s="1">
        <v>2.98258E7</v>
      </c>
      <c r="H136" s="6">
        <v>10.0</v>
      </c>
    </row>
    <row r="137">
      <c r="A137" s="9">
        <v>44774.0</v>
      </c>
      <c r="B137" s="1">
        <v>94.790001</v>
      </c>
      <c r="C137" s="1">
        <v>95.349998</v>
      </c>
      <c r="D137" s="1">
        <v>93.230003</v>
      </c>
      <c r="E137" s="1">
        <v>94.480003</v>
      </c>
      <c r="F137" s="1">
        <v>92.823601</v>
      </c>
      <c r="G137" s="1">
        <v>2.07932E7</v>
      </c>
      <c r="H137" s="6">
        <v>10.04</v>
      </c>
    </row>
    <row r="138">
      <c r="A138" s="9">
        <v>44775.0</v>
      </c>
      <c r="B138" s="1">
        <v>94.690002</v>
      </c>
      <c r="C138" s="1">
        <v>95.199997</v>
      </c>
      <c r="D138" s="1">
        <v>93.82</v>
      </c>
      <c r="E138" s="1">
        <v>94.07</v>
      </c>
      <c r="F138" s="1">
        <v>92.420784</v>
      </c>
      <c r="G138" s="1">
        <v>1.67225E7</v>
      </c>
      <c r="H138" s="6">
        <v>9.75</v>
      </c>
    </row>
    <row r="139">
      <c r="A139" s="9">
        <v>44776.0</v>
      </c>
      <c r="B139" s="1">
        <v>94.419998</v>
      </c>
      <c r="C139" s="1">
        <v>94.419998</v>
      </c>
      <c r="D139" s="1">
        <v>90.790001</v>
      </c>
      <c r="E139" s="1">
        <v>91.019997</v>
      </c>
      <c r="F139" s="1">
        <v>89.424248</v>
      </c>
      <c r="G139" s="1">
        <v>2.35808E7</v>
      </c>
      <c r="H139" s="6">
        <v>9.67</v>
      </c>
    </row>
    <row r="140">
      <c r="A140" s="9">
        <v>44777.0</v>
      </c>
      <c r="B140" s="1">
        <v>90.309998</v>
      </c>
      <c r="C140" s="1">
        <v>90.339996</v>
      </c>
      <c r="D140" s="1">
        <v>86.43</v>
      </c>
      <c r="E140" s="1">
        <v>87.190002</v>
      </c>
      <c r="F140" s="1">
        <v>85.6614</v>
      </c>
      <c r="G140" s="1">
        <v>3.18215E7</v>
      </c>
      <c r="H140" s="6">
        <v>9.63</v>
      </c>
    </row>
    <row r="141">
      <c r="A141" s="9">
        <v>44778.0</v>
      </c>
      <c r="B141" s="1">
        <v>86.360001</v>
      </c>
      <c r="C141" s="1">
        <v>89.690002</v>
      </c>
      <c r="D141" s="1">
        <v>86.279999</v>
      </c>
      <c r="E141" s="1">
        <v>88.449997</v>
      </c>
      <c r="F141" s="1">
        <v>86.8993</v>
      </c>
      <c r="G141" s="1">
        <v>1.7408E7</v>
      </c>
      <c r="H141" s="6">
        <v>9.51</v>
      </c>
    </row>
    <row r="142">
      <c r="A142" s="9">
        <v>44781.0</v>
      </c>
      <c r="B142" s="1">
        <v>88.610001</v>
      </c>
      <c r="C142" s="1">
        <v>89.599998</v>
      </c>
      <c r="D142" s="1">
        <v>88.220001</v>
      </c>
      <c r="E142" s="1">
        <v>88.949997</v>
      </c>
      <c r="F142" s="1">
        <v>87.390541</v>
      </c>
      <c r="G142" s="1">
        <v>1.44585E7</v>
      </c>
      <c r="H142" s="6">
        <v>9.63</v>
      </c>
    </row>
    <row r="143">
      <c r="A143" s="9">
        <v>44782.0</v>
      </c>
      <c r="B143" s="1">
        <v>90.050003</v>
      </c>
      <c r="C143" s="1">
        <v>91.610001</v>
      </c>
      <c r="D143" s="1">
        <v>89.949997</v>
      </c>
      <c r="E143" s="1">
        <v>90.589996</v>
      </c>
      <c r="F143" s="1">
        <v>89.001785</v>
      </c>
      <c r="G143" s="1">
        <v>1.90834E7</v>
      </c>
      <c r="H143" s="6">
        <v>9.66</v>
      </c>
    </row>
    <row r="144">
      <c r="A144" s="9">
        <v>44783.0</v>
      </c>
      <c r="B144" s="1">
        <v>90.68</v>
      </c>
      <c r="C144" s="1">
        <v>91.790001</v>
      </c>
      <c r="D144" s="1">
        <v>89.190002</v>
      </c>
      <c r="E144" s="1">
        <v>91.449997</v>
      </c>
      <c r="F144" s="1">
        <v>89.84671</v>
      </c>
      <c r="G144" s="1">
        <v>1.8302E7</v>
      </c>
      <c r="H144" s="6">
        <v>9.57</v>
      </c>
    </row>
    <row r="145">
      <c r="A145" s="9">
        <v>44784.0</v>
      </c>
      <c r="B145" s="1">
        <v>91.839996</v>
      </c>
      <c r="C145" s="1">
        <v>94.300003</v>
      </c>
      <c r="D145" s="1">
        <v>91.440002</v>
      </c>
      <c r="E145" s="1">
        <v>93.190002</v>
      </c>
      <c r="F145" s="1">
        <v>92.445793</v>
      </c>
      <c r="G145" s="1">
        <v>1.87979E7</v>
      </c>
      <c r="H145" s="6">
        <v>9.76</v>
      </c>
    </row>
    <row r="146">
      <c r="A146" s="9">
        <v>44785.0</v>
      </c>
      <c r="B146" s="1">
        <v>92.480003</v>
      </c>
      <c r="C146" s="1">
        <v>94.019997</v>
      </c>
      <c r="D146" s="1">
        <v>92.110001</v>
      </c>
      <c r="E146" s="1">
        <v>94.0</v>
      </c>
      <c r="F146" s="1">
        <v>93.249321</v>
      </c>
      <c r="G146" s="1">
        <v>1.50582E7</v>
      </c>
      <c r="H146" s="6">
        <v>10.0</v>
      </c>
    </row>
    <row r="147">
      <c r="A147" s="9">
        <v>44788.0</v>
      </c>
      <c r="B147" s="1">
        <v>90.529999</v>
      </c>
      <c r="C147" s="1">
        <v>92.730003</v>
      </c>
      <c r="D147" s="1">
        <v>89.660004</v>
      </c>
      <c r="E147" s="1">
        <v>92.32</v>
      </c>
      <c r="F147" s="1">
        <v>91.582733</v>
      </c>
      <c r="G147" s="1">
        <v>2.07552E7</v>
      </c>
      <c r="H147" s="6">
        <v>9.85</v>
      </c>
    </row>
    <row r="148">
      <c r="A148" s="9">
        <v>44789.0</v>
      </c>
      <c r="B148" s="1">
        <v>92.029999</v>
      </c>
      <c r="C148" s="1">
        <v>92.889999</v>
      </c>
      <c r="D148" s="1">
        <v>91.290001</v>
      </c>
      <c r="E148" s="1">
        <v>91.459999</v>
      </c>
      <c r="F148" s="1">
        <v>90.729607</v>
      </c>
      <c r="G148" s="1">
        <v>1.40382E7</v>
      </c>
      <c r="H148" s="6">
        <v>9.58</v>
      </c>
    </row>
    <row r="149">
      <c r="A149" s="9">
        <v>44790.0</v>
      </c>
      <c r="B149" s="1">
        <v>91.269997</v>
      </c>
      <c r="C149" s="1">
        <v>93.209999</v>
      </c>
      <c r="D149" s="1">
        <v>90.919998</v>
      </c>
      <c r="E149" s="1">
        <v>92.199997</v>
      </c>
      <c r="F149" s="1">
        <v>91.463692</v>
      </c>
      <c r="G149" s="1">
        <v>1.3678E7</v>
      </c>
      <c r="H149" s="6">
        <v>9.65</v>
      </c>
    </row>
    <row r="150">
      <c r="A150" s="9">
        <v>44791.0</v>
      </c>
      <c r="B150" s="1">
        <v>93.150002</v>
      </c>
      <c r="C150" s="1">
        <v>95.309998</v>
      </c>
      <c r="D150" s="1">
        <v>93.089996</v>
      </c>
      <c r="E150" s="1">
        <v>94.379997</v>
      </c>
      <c r="F150" s="1">
        <v>93.626282</v>
      </c>
      <c r="G150" s="1">
        <v>1.77704E7</v>
      </c>
      <c r="H150" s="6">
        <v>9.59</v>
      </c>
    </row>
    <row r="151">
      <c r="A151" s="9">
        <v>44792.0</v>
      </c>
      <c r="B151" s="1">
        <v>94.160004</v>
      </c>
      <c r="C151" s="1">
        <v>95.199997</v>
      </c>
      <c r="D151" s="1">
        <v>93.800003</v>
      </c>
      <c r="E151" s="1">
        <v>94.080002</v>
      </c>
      <c r="F151" s="1">
        <v>93.328682</v>
      </c>
      <c r="G151" s="1">
        <v>1.61286E7</v>
      </c>
      <c r="H151" s="6">
        <v>9.68</v>
      </c>
    </row>
    <row r="152">
      <c r="A152" s="9">
        <v>44795.0</v>
      </c>
      <c r="B152" s="1">
        <v>93.419998</v>
      </c>
      <c r="C152" s="1">
        <v>94.489998</v>
      </c>
      <c r="D152" s="1">
        <v>91.860001</v>
      </c>
      <c r="E152" s="1">
        <v>94.010002</v>
      </c>
      <c r="F152" s="1">
        <v>93.259239</v>
      </c>
      <c r="G152" s="1">
        <v>1.60199E7</v>
      </c>
      <c r="H152" s="6">
        <v>9.83</v>
      </c>
    </row>
    <row r="153">
      <c r="A153" s="9">
        <v>44796.0</v>
      </c>
      <c r="B153" s="1">
        <v>95.550003</v>
      </c>
      <c r="C153" s="1">
        <v>98.410004</v>
      </c>
      <c r="D153" s="1">
        <v>95.449997</v>
      </c>
      <c r="E153" s="1">
        <v>98.0</v>
      </c>
      <c r="F153" s="1">
        <v>97.217377</v>
      </c>
      <c r="G153" s="1">
        <v>2.37647E7</v>
      </c>
      <c r="H153" s="6">
        <v>10.16</v>
      </c>
    </row>
    <row r="154">
      <c r="A154" s="9">
        <v>44797.0</v>
      </c>
      <c r="B154" s="1">
        <v>98.010002</v>
      </c>
      <c r="C154" s="1">
        <v>98.970001</v>
      </c>
      <c r="D154" s="1">
        <v>97.360001</v>
      </c>
      <c r="E154" s="1">
        <v>98.580002</v>
      </c>
      <c r="F154" s="1">
        <v>97.792747</v>
      </c>
      <c r="G154" s="1">
        <v>1.70503E7</v>
      </c>
      <c r="H154" s="6">
        <v>10.32</v>
      </c>
    </row>
    <row r="155">
      <c r="A155" s="9">
        <v>44798.0</v>
      </c>
      <c r="B155" s="1">
        <v>98.919998</v>
      </c>
      <c r="C155" s="1">
        <v>99.860001</v>
      </c>
      <c r="D155" s="1">
        <v>98.099998</v>
      </c>
      <c r="E155" s="1">
        <v>99.089996</v>
      </c>
      <c r="F155" s="1">
        <v>98.298668</v>
      </c>
      <c r="G155" s="1">
        <v>1.53057E7</v>
      </c>
      <c r="H155" s="6">
        <v>10.82</v>
      </c>
    </row>
    <row r="156">
      <c r="A156" s="9">
        <v>44799.0</v>
      </c>
      <c r="B156" s="1">
        <v>98.769997</v>
      </c>
      <c r="C156" s="1">
        <v>99.910004</v>
      </c>
      <c r="D156" s="1">
        <v>97.419998</v>
      </c>
      <c r="E156" s="1">
        <v>97.870003</v>
      </c>
      <c r="F156" s="1">
        <v>97.088417</v>
      </c>
      <c r="G156" s="1">
        <v>1.55314E7</v>
      </c>
      <c r="H156" s="6">
        <v>10.7</v>
      </c>
    </row>
    <row r="157">
      <c r="A157" s="9">
        <v>44802.0</v>
      </c>
      <c r="B157" s="1">
        <v>98.18</v>
      </c>
      <c r="C157" s="1">
        <v>101.559998</v>
      </c>
      <c r="D157" s="1">
        <v>98.139999</v>
      </c>
      <c r="E157" s="1">
        <v>100.120003</v>
      </c>
      <c r="F157" s="1">
        <v>99.32045</v>
      </c>
      <c r="G157" s="1">
        <v>2.30592E7</v>
      </c>
      <c r="H157" s="6">
        <v>10.86</v>
      </c>
    </row>
    <row r="158">
      <c r="A158" s="9">
        <v>44803.0</v>
      </c>
      <c r="B158" s="1">
        <v>98.360001</v>
      </c>
      <c r="C158" s="1">
        <v>98.620003</v>
      </c>
      <c r="D158" s="1">
        <v>95.82</v>
      </c>
      <c r="E158" s="1">
        <v>96.309998</v>
      </c>
      <c r="F158" s="1">
        <v>95.540871</v>
      </c>
      <c r="G158" s="1">
        <v>1.70868E7</v>
      </c>
      <c r="H158" s="6">
        <v>10.88</v>
      </c>
    </row>
    <row r="159">
      <c r="A159" s="9">
        <v>44804.0</v>
      </c>
      <c r="B159" s="1">
        <v>94.029999</v>
      </c>
      <c r="C159" s="1">
        <v>96.839996</v>
      </c>
      <c r="D159" s="1">
        <v>93.589996</v>
      </c>
      <c r="E159" s="1">
        <v>95.589996</v>
      </c>
      <c r="F159" s="1">
        <v>94.826622</v>
      </c>
      <c r="G159" s="1">
        <v>1.83409E7</v>
      </c>
      <c r="H159" s="6">
        <v>10.64</v>
      </c>
    </row>
    <row r="160">
      <c r="A160" s="9">
        <v>44805.0</v>
      </c>
      <c r="B160" s="1">
        <v>94.419998</v>
      </c>
      <c r="C160" s="1">
        <v>95.07</v>
      </c>
      <c r="D160" s="1">
        <v>92.290001</v>
      </c>
      <c r="E160" s="1">
        <v>93.870003</v>
      </c>
      <c r="F160" s="1">
        <v>93.120361</v>
      </c>
      <c r="G160" s="1">
        <v>1.6423E7</v>
      </c>
      <c r="H160" s="6">
        <v>10.58</v>
      </c>
    </row>
    <row r="161">
      <c r="A161" s="9">
        <v>44806.0</v>
      </c>
      <c r="B161" s="1">
        <v>96.349998</v>
      </c>
      <c r="C161" s="1">
        <v>96.790001</v>
      </c>
      <c r="D161" s="1">
        <v>95.110001</v>
      </c>
      <c r="E161" s="1">
        <v>95.589996</v>
      </c>
      <c r="F161" s="1">
        <v>94.826622</v>
      </c>
      <c r="G161" s="1">
        <v>1.82068E7</v>
      </c>
      <c r="H161" s="6">
        <v>10.48</v>
      </c>
    </row>
    <row r="162">
      <c r="A162" s="9">
        <v>44810.0</v>
      </c>
      <c r="B162" s="1">
        <v>96.160004</v>
      </c>
      <c r="C162" s="1">
        <v>96.589996</v>
      </c>
      <c r="D162" s="1">
        <v>94.510002</v>
      </c>
      <c r="E162" s="1">
        <v>94.949997</v>
      </c>
      <c r="F162" s="1">
        <v>94.191734</v>
      </c>
      <c r="G162" s="1">
        <v>1.92015E7</v>
      </c>
      <c r="H162" s="6">
        <v>10.12</v>
      </c>
    </row>
    <row r="163">
      <c r="A163" s="9">
        <v>44811.0</v>
      </c>
      <c r="B163" s="1">
        <v>93.190002</v>
      </c>
      <c r="C163" s="1">
        <v>94.589996</v>
      </c>
      <c r="D163" s="1">
        <v>92.300003</v>
      </c>
      <c r="E163" s="1">
        <v>94.139999</v>
      </c>
      <c r="F163" s="1">
        <v>93.388199</v>
      </c>
      <c r="G163" s="1">
        <v>1.62747E7</v>
      </c>
      <c r="H163" s="6">
        <v>9.93</v>
      </c>
    </row>
    <row r="164">
      <c r="A164" s="9">
        <v>44812.0</v>
      </c>
      <c r="B164" s="1">
        <v>94.660004</v>
      </c>
      <c r="C164" s="1">
        <v>95.419998</v>
      </c>
      <c r="D164" s="1">
        <v>93.720001</v>
      </c>
      <c r="E164" s="1">
        <v>94.910004</v>
      </c>
      <c r="F164" s="1">
        <v>94.152054</v>
      </c>
      <c r="G164" s="1">
        <v>1.87592E7</v>
      </c>
      <c r="H164" s="6">
        <v>9.57</v>
      </c>
    </row>
    <row r="165">
      <c r="A165" s="9">
        <v>44813.0</v>
      </c>
      <c r="B165" s="1">
        <v>96.519997</v>
      </c>
      <c r="C165" s="1">
        <v>97.0</v>
      </c>
      <c r="D165" s="1">
        <v>95.32</v>
      </c>
      <c r="E165" s="1">
        <v>96.5</v>
      </c>
      <c r="F165" s="1">
        <v>95.729355</v>
      </c>
      <c r="G165" s="1">
        <v>1.7158E7</v>
      </c>
      <c r="H165" s="6">
        <v>9.77</v>
      </c>
    </row>
    <row r="166">
      <c r="A166" s="9">
        <v>44817.0</v>
      </c>
      <c r="B166" s="1">
        <v>96.610001</v>
      </c>
      <c r="C166" s="1">
        <v>97.779999</v>
      </c>
      <c r="D166" s="1">
        <v>94.910004</v>
      </c>
      <c r="E166" s="1">
        <v>95.330002</v>
      </c>
      <c r="F166" s="1">
        <v>94.568703</v>
      </c>
      <c r="G166" s="1">
        <v>1.82291E7</v>
      </c>
      <c r="H166" s="6">
        <v>9.94</v>
      </c>
    </row>
    <row r="167">
      <c r="A167" s="9">
        <v>44818.0</v>
      </c>
      <c r="B167" s="1">
        <v>96.190002</v>
      </c>
      <c r="C167" s="1">
        <v>98.559998</v>
      </c>
      <c r="D167" s="1">
        <v>96.150002</v>
      </c>
      <c r="E167" s="1">
        <v>97.669998</v>
      </c>
      <c r="F167" s="1">
        <v>96.890007</v>
      </c>
      <c r="G167" s="1">
        <v>2.26557E7</v>
      </c>
      <c r="H167" s="6">
        <v>10.16</v>
      </c>
    </row>
    <row r="168">
      <c r="A168" s="9">
        <v>44819.0</v>
      </c>
      <c r="B168" s="1">
        <v>96.220001</v>
      </c>
      <c r="C168" s="1">
        <v>96.540001</v>
      </c>
      <c r="D168" s="1">
        <v>94.050003</v>
      </c>
      <c r="E168" s="1">
        <v>94.830002</v>
      </c>
      <c r="F168" s="1">
        <v>94.072693</v>
      </c>
      <c r="G168" s="1">
        <v>2.10923E7</v>
      </c>
      <c r="H168" s="6">
        <v>10.32</v>
      </c>
    </row>
    <row r="169">
      <c r="A169" s="9">
        <v>44820.0</v>
      </c>
      <c r="B169" s="1">
        <v>95.07</v>
      </c>
      <c r="C169" s="1">
        <v>95.339996</v>
      </c>
      <c r="D169" s="1">
        <v>92.0</v>
      </c>
      <c r="E169" s="1">
        <v>93.209999</v>
      </c>
      <c r="F169" s="1">
        <v>92.46563</v>
      </c>
      <c r="G169" s="1">
        <v>3.78747E7</v>
      </c>
      <c r="H169" s="6">
        <v>10.08</v>
      </c>
    </row>
    <row r="170">
      <c r="A170" s="9">
        <v>44823.0</v>
      </c>
      <c r="B170" s="1">
        <v>91.010002</v>
      </c>
      <c r="C170" s="1">
        <v>93.489998</v>
      </c>
      <c r="D170" s="1">
        <v>91.0</v>
      </c>
      <c r="E170" s="1">
        <v>93.199997</v>
      </c>
      <c r="F170" s="1">
        <v>92.455704</v>
      </c>
      <c r="G170" s="1">
        <v>1.53421E7</v>
      </c>
      <c r="H170" s="6">
        <v>10.0</v>
      </c>
    </row>
    <row r="171">
      <c r="A171" s="9">
        <v>44824.0</v>
      </c>
      <c r="B171" s="1">
        <v>92.730003</v>
      </c>
      <c r="C171" s="1">
        <v>92.93</v>
      </c>
      <c r="D171" s="1">
        <v>91.639999</v>
      </c>
      <c r="E171" s="1">
        <v>92.440002</v>
      </c>
      <c r="F171" s="1">
        <v>91.701782</v>
      </c>
      <c r="G171" s="1">
        <v>1.47125E7</v>
      </c>
      <c r="H171" s="6">
        <v>10.08</v>
      </c>
    </row>
    <row r="172">
      <c r="A172" s="9">
        <v>44825.0</v>
      </c>
      <c r="B172" s="1">
        <v>93.57</v>
      </c>
      <c r="C172" s="1">
        <v>93.879997</v>
      </c>
      <c r="D172" s="1">
        <v>90.870003</v>
      </c>
      <c r="E172" s="1">
        <v>90.949997</v>
      </c>
      <c r="F172" s="1">
        <v>90.223679</v>
      </c>
      <c r="G172" s="1">
        <v>1.73324E7</v>
      </c>
      <c r="H172" s="6">
        <v>10.3</v>
      </c>
    </row>
    <row r="173">
      <c r="A173" s="9">
        <v>44826.0</v>
      </c>
      <c r="B173" s="1">
        <v>92.199997</v>
      </c>
      <c r="C173" s="1">
        <v>92.660004</v>
      </c>
      <c r="D173" s="1">
        <v>90.519997</v>
      </c>
      <c r="E173" s="1">
        <v>90.57</v>
      </c>
      <c r="F173" s="1">
        <v>89.84671</v>
      </c>
      <c r="G173" s="1">
        <v>1.61394E7</v>
      </c>
      <c r="H173" s="6">
        <v>10.22</v>
      </c>
    </row>
    <row r="174">
      <c r="A174" s="9">
        <v>44827.0</v>
      </c>
      <c r="B174" s="1">
        <v>87.5</v>
      </c>
      <c r="C174" s="1">
        <v>87.5</v>
      </c>
      <c r="D174" s="1">
        <v>84.849998</v>
      </c>
      <c r="E174" s="1">
        <v>85.75</v>
      </c>
      <c r="F174" s="1">
        <v>85.065208</v>
      </c>
      <c r="G174" s="1">
        <v>2.77388E7</v>
      </c>
      <c r="H174" s="6">
        <v>10.22</v>
      </c>
    </row>
    <row r="175">
      <c r="A175" s="9">
        <v>44830.0</v>
      </c>
      <c r="B175" s="1">
        <v>84.900002</v>
      </c>
      <c r="C175" s="1">
        <v>86.220001</v>
      </c>
      <c r="D175" s="1">
        <v>83.889999</v>
      </c>
      <c r="E175" s="1">
        <v>83.980003</v>
      </c>
      <c r="F175" s="1">
        <v>83.309341</v>
      </c>
      <c r="G175" s="1">
        <v>2.20434E7</v>
      </c>
      <c r="H175" s="6">
        <v>9.65</v>
      </c>
    </row>
    <row r="176">
      <c r="A176" s="9">
        <v>44831.0</v>
      </c>
      <c r="B176" s="1">
        <v>85.610001</v>
      </c>
      <c r="C176" s="1">
        <v>86.959999</v>
      </c>
      <c r="D176" s="1">
        <v>84.809998</v>
      </c>
      <c r="E176" s="1">
        <v>85.739998</v>
      </c>
      <c r="F176" s="1">
        <v>85.055283</v>
      </c>
      <c r="G176" s="1">
        <v>1.73073E7</v>
      </c>
      <c r="H176" s="6">
        <v>9.58</v>
      </c>
    </row>
    <row r="177">
      <c r="A177" s="9">
        <v>44832.0</v>
      </c>
      <c r="B177" s="1">
        <v>86.120003</v>
      </c>
      <c r="C177" s="1">
        <v>89.300003</v>
      </c>
      <c r="D177" s="1">
        <v>85.919998</v>
      </c>
      <c r="E177" s="1">
        <v>88.860001</v>
      </c>
      <c r="F177" s="1">
        <v>88.150368</v>
      </c>
      <c r="G177" s="1">
        <v>1.95433E7</v>
      </c>
      <c r="H177" s="6">
        <v>9.39</v>
      </c>
    </row>
    <row r="178">
      <c r="A178" s="9">
        <v>44833.0</v>
      </c>
      <c r="B178" s="1">
        <v>88.18</v>
      </c>
      <c r="C178" s="1">
        <v>89.360001</v>
      </c>
      <c r="D178" s="1">
        <v>87.129997</v>
      </c>
      <c r="E178" s="1">
        <v>88.68</v>
      </c>
      <c r="F178" s="1">
        <v>87.971809</v>
      </c>
      <c r="G178" s="1">
        <v>1.7896E7</v>
      </c>
      <c r="H178" s="6">
        <v>9.3</v>
      </c>
    </row>
    <row r="179">
      <c r="A179" s="9">
        <v>44834.0</v>
      </c>
      <c r="B179" s="1">
        <v>88.169998</v>
      </c>
      <c r="C179" s="1">
        <v>89.040001</v>
      </c>
      <c r="D179" s="1">
        <v>87.309998</v>
      </c>
      <c r="E179" s="1">
        <v>87.309998</v>
      </c>
      <c r="F179" s="1">
        <v>86.612747</v>
      </c>
      <c r="G179" s="1">
        <v>2.13576E7</v>
      </c>
      <c r="H179" s="6">
        <v>9.41</v>
      </c>
    </row>
    <row r="180">
      <c r="A180" s="9">
        <v>44837.0</v>
      </c>
      <c r="B180" s="1">
        <v>90.040001</v>
      </c>
      <c r="C180" s="1">
        <v>92.360001</v>
      </c>
      <c r="D180" s="1">
        <v>89.720001</v>
      </c>
      <c r="E180" s="1">
        <v>91.919998</v>
      </c>
      <c r="F180" s="1">
        <v>91.185928</v>
      </c>
      <c r="G180" s="1">
        <v>2.38813E7</v>
      </c>
      <c r="H180" s="6">
        <v>9.48</v>
      </c>
    </row>
    <row r="181">
      <c r="A181" s="9">
        <v>44839.0</v>
      </c>
      <c r="B181" s="1">
        <v>95.75</v>
      </c>
      <c r="C181" s="1">
        <v>99.989998</v>
      </c>
      <c r="D181" s="1">
        <v>95.660004</v>
      </c>
      <c r="E181" s="1">
        <v>99.120003</v>
      </c>
      <c r="F181" s="1">
        <v>98.328438</v>
      </c>
      <c r="G181" s="1">
        <v>3.48577E7</v>
      </c>
      <c r="H181" s="6">
        <v>9.77</v>
      </c>
    </row>
    <row r="182">
      <c r="A182" s="9">
        <v>44840.0</v>
      </c>
      <c r="B182" s="1">
        <v>98.470001</v>
      </c>
      <c r="C182" s="1">
        <v>102.18</v>
      </c>
      <c r="D182" s="1">
        <v>98.330002</v>
      </c>
      <c r="E182" s="1">
        <v>102.059998</v>
      </c>
      <c r="F182" s="1">
        <v>101.244949</v>
      </c>
      <c r="G182" s="1">
        <v>2.91247E7</v>
      </c>
      <c r="H182" s="6">
        <v>9.89</v>
      </c>
    </row>
    <row r="183">
      <c r="A183" s="9">
        <v>44841.0</v>
      </c>
      <c r="B183" s="1">
        <v>102.190002</v>
      </c>
      <c r="C183" s="1">
        <v>103.32</v>
      </c>
      <c r="D183" s="1">
        <v>100.18</v>
      </c>
      <c r="E183" s="1">
        <v>101.029999</v>
      </c>
      <c r="F183" s="1">
        <v>100.223175</v>
      </c>
      <c r="G183" s="1">
        <v>2.45076E7</v>
      </c>
      <c r="H183" s="6">
        <v>9.9</v>
      </c>
    </row>
    <row r="184">
      <c r="A184" s="9">
        <v>44844.0</v>
      </c>
      <c r="B184" s="1">
        <v>101.489998</v>
      </c>
      <c r="C184" s="1">
        <v>102.029999</v>
      </c>
      <c r="D184" s="1">
        <v>98.720001</v>
      </c>
      <c r="E184" s="1">
        <v>98.839996</v>
      </c>
      <c r="F184" s="1">
        <v>98.050667</v>
      </c>
      <c r="G184" s="1">
        <v>1.67861E7</v>
      </c>
      <c r="H184" s="6">
        <v>9.83</v>
      </c>
    </row>
    <row r="185">
      <c r="A185" s="9">
        <v>44845.0</v>
      </c>
      <c r="B185" s="1">
        <v>97.220001</v>
      </c>
      <c r="C185" s="1">
        <v>99.760002</v>
      </c>
      <c r="D185" s="1">
        <v>96.75</v>
      </c>
      <c r="E185" s="1">
        <v>98.0</v>
      </c>
      <c r="F185" s="1">
        <v>97.217377</v>
      </c>
      <c r="G185" s="1">
        <v>1.78041E7</v>
      </c>
      <c r="H185" s="6">
        <v>9.68</v>
      </c>
    </row>
    <row r="186">
      <c r="A186" s="9">
        <v>44846.0</v>
      </c>
      <c r="B186" s="1">
        <v>97.5</v>
      </c>
      <c r="C186" s="1">
        <v>98.910004</v>
      </c>
      <c r="D186" s="1">
        <v>97.230003</v>
      </c>
      <c r="E186" s="1">
        <v>98.43</v>
      </c>
      <c r="F186" s="1">
        <v>97.643944</v>
      </c>
      <c r="G186" s="1">
        <v>1.26358E7</v>
      </c>
      <c r="H186" s="6">
        <v>9.58</v>
      </c>
    </row>
    <row r="187">
      <c r="A187" s="9">
        <v>44847.0</v>
      </c>
      <c r="B187" s="1">
        <v>97.550003</v>
      </c>
      <c r="C187" s="1">
        <v>102.449997</v>
      </c>
      <c r="D187" s="1">
        <v>97.400002</v>
      </c>
      <c r="E187" s="1">
        <v>101.870003</v>
      </c>
      <c r="F187" s="1">
        <v>101.056473</v>
      </c>
      <c r="G187" s="1">
        <v>2.20191E7</v>
      </c>
      <c r="H187" s="6">
        <v>9.52</v>
      </c>
    </row>
    <row r="188">
      <c r="A188" s="9">
        <v>44848.0</v>
      </c>
      <c r="B188" s="1">
        <v>101.120003</v>
      </c>
      <c r="C188" s="1">
        <v>102.239998</v>
      </c>
      <c r="D188" s="1">
        <v>99.040001</v>
      </c>
      <c r="E188" s="1">
        <v>99.190002</v>
      </c>
      <c r="F188" s="1">
        <v>98.397873</v>
      </c>
      <c r="G188" s="1">
        <v>1.5222E7</v>
      </c>
      <c r="H188" s="6">
        <v>9.66</v>
      </c>
    </row>
    <row r="189">
      <c r="A189" s="9">
        <v>44851.0</v>
      </c>
      <c r="B189" s="1">
        <v>101.07</v>
      </c>
      <c r="C189" s="1">
        <v>101.970001</v>
      </c>
      <c r="D189" s="1">
        <v>100.5</v>
      </c>
      <c r="E189" s="1">
        <v>100.620003</v>
      </c>
      <c r="F189" s="1">
        <v>99.81646</v>
      </c>
      <c r="G189" s="1">
        <v>1.42832E7</v>
      </c>
      <c r="H189" s="6">
        <v>9.84</v>
      </c>
    </row>
    <row r="190">
      <c r="A190" s="9">
        <v>44852.0</v>
      </c>
      <c r="B190" s="1">
        <v>101.540001</v>
      </c>
      <c r="C190" s="1">
        <v>102.349998</v>
      </c>
      <c r="D190" s="1">
        <v>99.230003</v>
      </c>
      <c r="E190" s="1">
        <v>100.800003</v>
      </c>
      <c r="F190" s="1">
        <v>99.995018</v>
      </c>
      <c r="G190" s="1">
        <v>1.40654E7</v>
      </c>
      <c r="H190" s="6">
        <v>9.89</v>
      </c>
    </row>
    <row r="191">
      <c r="A191" s="9">
        <v>44853.0</v>
      </c>
      <c r="B191" s="1">
        <v>101.25</v>
      </c>
      <c r="C191" s="1">
        <v>103.989998</v>
      </c>
      <c r="D191" s="1">
        <v>101.230003</v>
      </c>
      <c r="E191" s="1">
        <v>103.790001</v>
      </c>
      <c r="F191" s="1">
        <v>102.961136</v>
      </c>
      <c r="G191" s="1">
        <v>2.09217E7</v>
      </c>
      <c r="H191" s="6">
        <v>9.85</v>
      </c>
    </row>
    <row r="192">
      <c r="A192" s="9">
        <v>44854.0</v>
      </c>
      <c r="B192" s="1">
        <v>104.32</v>
      </c>
      <c r="C192" s="1">
        <v>105.0</v>
      </c>
      <c r="D192" s="1">
        <v>103.410004</v>
      </c>
      <c r="E192" s="1">
        <v>103.93</v>
      </c>
      <c r="F192" s="1">
        <v>103.100021</v>
      </c>
      <c r="G192" s="1">
        <v>1.7649E7</v>
      </c>
      <c r="H192" s="6">
        <v>9.88</v>
      </c>
    </row>
    <row r="193">
      <c r="A193" s="9">
        <v>44855.0</v>
      </c>
      <c r="B193" s="1">
        <v>104.449997</v>
      </c>
      <c r="C193" s="1">
        <v>106.400002</v>
      </c>
      <c r="D193" s="1">
        <v>103.910004</v>
      </c>
      <c r="E193" s="1">
        <v>105.860001</v>
      </c>
      <c r="F193" s="1">
        <v>105.01461</v>
      </c>
      <c r="G193" s="1">
        <v>2.28141E7</v>
      </c>
      <c r="H193" s="6">
        <v>9.95</v>
      </c>
    </row>
    <row r="194">
      <c r="A194" s="9">
        <v>44858.0</v>
      </c>
      <c r="B194" s="1">
        <v>105.660004</v>
      </c>
      <c r="C194" s="1">
        <v>107.68</v>
      </c>
      <c r="D194" s="1">
        <v>105.120003</v>
      </c>
      <c r="E194" s="1">
        <v>106.599998</v>
      </c>
      <c r="F194" s="1">
        <v>105.748695</v>
      </c>
      <c r="G194" s="1">
        <v>1.70242E7</v>
      </c>
      <c r="H194" s="6">
        <v>9.76</v>
      </c>
    </row>
    <row r="195">
      <c r="A195" s="9">
        <v>44859.0</v>
      </c>
      <c r="B195" s="1">
        <v>106.410004</v>
      </c>
      <c r="C195" s="1">
        <v>107.330002</v>
      </c>
      <c r="D195" s="1">
        <v>105.07</v>
      </c>
      <c r="E195" s="1">
        <v>105.879997</v>
      </c>
      <c r="F195" s="1">
        <v>105.034447</v>
      </c>
      <c r="G195" s="1">
        <v>1.57198E7</v>
      </c>
      <c r="H195" s="6">
        <v>9.76</v>
      </c>
    </row>
    <row r="196">
      <c r="A196" s="9">
        <v>44860.0</v>
      </c>
      <c r="B196" s="1">
        <v>106.260002</v>
      </c>
      <c r="C196" s="1">
        <v>107.830002</v>
      </c>
      <c r="D196" s="1">
        <v>106.0</v>
      </c>
      <c r="E196" s="1">
        <v>107.139999</v>
      </c>
      <c r="F196" s="1">
        <v>106.284386</v>
      </c>
      <c r="G196" s="1">
        <v>1.73838E7</v>
      </c>
      <c r="H196" s="6">
        <v>9.73</v>
      </c>
    </row>
    <row r="197">
      <c r="A197" s="9">
        <v>44861.0</v>
      </c>
      <c r="B197" s="1">
        <v>108.410004</v>
      </c>
      <c r="C197" s="1">
        <v>109.580002</v>
      </c>
      <c r="D197" s="1">
        <v>107.419998</v>
      </c>
      <c r="E197" s="1">
        <v>107.550003</v>
      </c>
      <c r="F197" s="1">
        <v>106.691116</v>
      </c>
      <c r="G197" s="1">
        <v>1.8214E7</v>
      </c>
      <c r="H197" s="6">
        <v>9.8</v>
      </c>
    </row>
    <row r="198">
      <c r="A198" s="9">
        <v>44862.0</v>
      </c>
      <c r="B198" s="1">
        <v>109.459999</v>
      </c>
      <c r="C198" s="1">
        <v>111.209999</v>
      </c>
      <c r="D198" s="1">
        <v>108.120003</v>
      </c>
      <c r="E198" s="1">
        <v>110.699997</v>
      </c>
      <c r="F198" s="1">
        <v>109.815956</v>
      </c>
      <c r="G198" s="1">
        <v>2.81694E7</v>
      </c>
      <c r="H198" s="6">
        <v>9.77</v>
      </c>
    </row>
    <row r="199">
      <c r="A199" s="9">
        <v>44865.0</v>
      </c>
      <c r="B199" s="1">
        <v>109.5</v>
      </c>
      <c r="C199" s="1">
        <v>112.910004</v>
      </c>
      <c r="D199" s="1">
        <v>109.440002</v>
      </c>
      <c r="E199" s="1">
        <v>110.809998</v>
      </c>
      <c r="F199" s="1">
        <v>109.925072</v>
      </c>
      <c r="G199" s="1">
        <v>2.64018E7</v>
      </c>
      <c r="H199" s="6">
        <v>9.36</v>
      </c>
    </row>
    <row r="200">
      <c r="A200" s="9">
        <v>44866.0</v>
      </c>
      <c r="B200" s="1">
        <v>112.370003</v>
      </c>
      <c r="C200" s="1">
        <v>112.57</v>
      </c>
      <c r="D200" s="1">
        <v>110.650002</v>
      </c>
      <c r="E200" s="1">
        <v>111.910004</v>
      </c>
      <c r="F200" s="1">
        <v>111.016296</v>
      </c>
      <c r="G200" s="1">
        <v>2.22131E7</v>
      </c>
      <c r="H200" s="6">
        <v>9.67</v>
      </c>
    </row>
    <row r="201">
      <c r="A201" s="9">
        <v>44867.0</v>
      </c>
      <c r="B201" s="1">
        <v>111.580002</v>
      </c>
      <c r="C201" s="1">
        <v>112.099998</v>
      </c>
      <c r="D201" s="1">
        <v>109.309998</v>
      </c>
      <c r="E201" s="1">
        <v>109.610001</v>
      </c>
      <c r="F201" s="1">
        <v>108.734657</v>
      </c>
      <c r="G201" s="1">
        <v>2.06542E7</v>
      </c>
      <c r="H201" s="6">
        <v>9.88</v>
      </c>
    </row>
    <row r="202">
      <c r="A202" s="9">
        <v>44868.0</v>
      </c>
      <c r="B202" s="1">
        <v>108.580002</v>
      </c>
      <c r="C202" s="1">
        <v>111.82</v>
      </c>
      <c r="D202" s="1">
        <v>108.309998</v>
      </c>
      <c r="E202" s="1">
        <v>111.099998</v>
      </c>
      <c r="F202" s="1">
        <v>110.212761</v>
      </c>
      <c r="G202" s="1">
        <v>1.71037E7</v>
      </c>
      <c r="H202" s="6">
        <v>9.72</v>
      </c>
    </row>
    <row r="203">
      <c r="A203" s="9">
        <v>44869.0</v>
      </c>
      <c r="B203" s="1">
        <v>113.0</v>
      </c>
      <c r="C203" s="1">
        <v>113.5</v>
      </c>
      <c r="D203" s="1">
        <v>110.800003</v>
      </c>
      <c r="E203" s="1">
        <v>112.309998</v>
      </c>
      <c r="F203" s="1">
        <v>111.413094</v>
      </c>
      <c r="G203" s="1">
        <v>1.75415E7</v>
      </c>
      <c r="H203" s="6">
        <v>9.88</v>
      </c>
    </row>
    <row r="204">
      <c r="A204" s="9">
        <v>44872.0</v>
      </c>
      <c r="B204" s="1">
        <v>112.410004</v>
      </c>
      <c r="C204" s="1">
        <v>113.989998</v>
      </c>
      <c r="D204" s="1">
        <v>112.129997</v>
      </c>
      <c r="E204" s="1">
        <v>113.639999</v>
      </c>
      <c r="F204" s="1">
        <v>112.732475</v>
      </c>
      <c r="G204" s="1">
        <v>1.6008E7</v>
      </c>
      <c r="H204" s="6">
        <v>10.14</v>
      </c>
    </row>
    <row r="205">
      <c r="A205" s="9">
        <v>44873.0</v>
      </c>
      <c r="B205" s="1">
        <v>113.480003</v>
      </c>
      <c r="C205" s="1">
        <v>114.660004</v>
      </c>
      <c r="D205" s="1">
        <v>112.599998</v>
      </c>
      <c r="E205" s="1">
        <v>114.0</v>
      </c>
      <c r="F205" s="1">
        <v>113.0896</v>
      </c>
      <c r="G205" s="1">
        <v>1.4661E7</v>
      </c>
      <c r="H205" s="6">
        <v>10.2</v>
      </c>
    </row>
    <row r="206">
      <c r="A206" s="9">
        <v>44874.0</v>
      </c>
      <c r="B206" s="1">
        <v>113.099998</v>
      </c>
      <c r="C206" s="1">
        <v>113.279999</v>
      </c>
      <c r="D206" s="1">
        <v>108.57</v>
      </c>
      <c r="E206" s="1">
        <v>108.900002</v>
      </c>
      <c r="F206" s="1">
        <v>108.030334</v>
      </c>
      <c r="G206" s="1">
        <v>1.95228E7</v>
      </c>
      <c r="H206" s="6">
        <v>10.18</v>
      </c>
    </row>
    <row r="207">
      <c r="A207" s="9">
        <v>44875.0</v>
      </c>
      <c r="B207" s="1">
        <v>110.190002</v>
      </c>
      <c r="C207" s="1">
        <v>110.699997</v>
      </c>
      <c r="D207" s="1">
        <v>107.57</v>
      </c>
      <c r="E207" s="1">
        <v>110.5</v>
      </c>
      <c r="F207" s="1">
        <v>109.617554</v>
      </c>
      <c r="G207" s="1">
        <v>2.01467E7</v>
      </c>
      <c r="H207" s="6">
        <v>10.1</v>
      </c>
    </row>
    <row r="208">
      <c r="A208" s="9">
        <v>44876.0</v>
      </c>
      <c r="B208" s="1">
        <v>112.580002</v>
      </c>
      <c r="C208" s="1">
        <v>114.5</v>
      </c>
      <c r="D208" s="1">
        <v>112.489998</v>
      </c>
      <c r="E208" s="1">
        <v>113.949997</v>
      </c>
      <c r="F208" s="1">
        <v>113.040001</v>
      </c>
      <c r="G208" s="1">
        <v>2.05189E7</v>
      </c>
      <c r="H208" s="6">
        <v>10.32</v>
      </c>
    </row>
    <row r="209">
      <c r="A209" s="9">
        <v>44879.0</v>
      </c>
      <c r="B209" s="1">
        <v>112.629997</v>
      </c>
      <c r="C209" s="1">
        <v>114.639999</v>
      </c>
      <c r="D209" s="1">
        <v>112.489998</v>
      </c>
      <c r="E209" s="1">
        <v>113.370003</v>
      </c>
      <c r="F209" s="1">
        <v>113.370003</v>
      </c>
      <c r="G209" s="1">
        <v>2.08583E7</v>
      </c>
      <c r="H209" s="6">
        <v>10.32</v>
      </c>
    </row>
    <row r="210">
      <c r="A210" s="9">
        <v>44880.0</v>
      </c>
      <c r="B210" s="1">
        <v>113.800003</v>
      </c>
      <c r="C210" s="1">
        <v>114.529999</v>
      </c>
      <c r="D210" s="1">
        <v>112.870003</v>
      </c>
      <c r="E210" s="1">
        <v>114.129997</v>
      </c>
      <c r="F210" s="1">
        <v>114.129997</v>
      </c>
      <c r="G210" s="1">
        <v>1.93738E7</v>
      </c>
      <c r="H210" s="6">
        <v>10.48</v>
      </c>
    </row>
    <row r="211">
      <c r="A211" s="9">
        <v>44881.0</v>
      </c>
      <c r="B211" s="1">
        <v>113.440002</v>
      </c>
      <c r="C211" s="1">
        <v>114.260002</v>
      </c>
      <c r="D211" s="1">
        <v>111.860001</v>
      </c>
      <c r="E211" s="1">
        <v>112.910004</v>
      </c>
      <c r="F211" s="1">
        <v>112.910004</v>
      </c>
      <c r="G211" s="1">
        <v>1.3591E7</v>
      </c>
      <c r="H211" s="6">
        <v>10.44</v>
      </c>
    </row>
    <row r="212">
      <c r="A212" s="9">
        <v>44882.0</v>
      </c>
      <c r="B212" s="1">
        <v>111.290001</v>
      </c>
      <c r="C212" s="1">
        <v>113.199997</v>
      </c>
      <c r="D212" s="1">
        <v>110.75</v>
      </c>
      <c r="E212" s="1">
        <v>113.059998</v>
      </c>
      <c r="F212" s="1">
        <v>113.059998</v>
      </c>
      <c r="G212" s="1">
        <v>1.24259E7</v>
      </c>
      <c r="H212" s="6">
        <v>10.38</v>
      </c>
    </row>
    <row r="213">
      <c r="A213" s="9">
        <v>44883.0</v>
      </c>
      <c r="B213" s="1">
        <v>110.900002</v>
      </c>
      <c r="C213" s="1">
        <v>112.480003</v>
      </c>
      <c r="D213" s="1">
        <v>109.610001</v>
      </c>
      <c r="E213" s="1">
        <v>112.080002</v>
      </c>
      <c r="F213" s="1">
        <v>112.080002</v>
      </c>
      <c r="G213" s="1">
        <v>1.5415E7</v>
      </c>
      <c r="H213" s="6">
        <v>10.2</v>
      </c>
    </row>
    <row r="214">
      <c r="A214" s="9">
        <v>44886.0</v>
      </c>
      <c r="B214" s="1">
        <v>109.989998</v>
      </c>
      <c r="C214" s="1">
        <v>111.199997</v>
      </c>
      <c r="D214" s="1">
        <v>107.480003</v>
      </c>
      <c r="E214" s="1">
        <v>110.970001</v>
      </c>
      <c r="F214" s="1">
        <v>110.970001</v>
      </c>
      <c r="G214" s="1">
        <v>2.0973E7</v>
      </c>
      <c r="H214" s="6">
        <v>10.04</v>
      </c>
    </row>
    <row r="215">
      <c r="A215" s="9">
        <v>44887.0</v>
      </c>
      <c r="B215" s="1">
        <v>112.209999</v>
      </c>
      <c r="C215" s="1">
        <v>114.470001</v>
      </c>
      <c r="D215" s="1">
        <v>111.43</v>
      </c>
      <c r="E215" s="1">
        <v>114.18</v>
      </c>
      <c r="F215" s="1">
        <v>114.18</v>
      </c>
      <c r="G215" s="1">
        <v>1.77191E7</v>
      </c>
      <c r="H215" s="6">
        <v>10.16</v>
      </c>
    </row>
    <row r="216">
      <c r="A216" s="9">
        <v>44888.0</v>
      </c>
      <c r="B216" s="1">
        <v>112.32</v>
      </c>
      <c r="C216" s="1">
        <v>113.949997</v>
      </c>
      <c r="D216" s="1">
        <v>112.099998</v>
      </c>
      <c r="E216" s="1">
        <v>113.610001</v>
      </c>
      <c r="F216" s="1">
        <v>113.610001</v>
      </c>
      <c r="G216" s="1">
        <v>1.15467E7</v>
      </c>
      <c r="H216" s="6">
        <v>10.26</v>
      </c>
    </row>
    <row r="217">
      <c r="A217" s="9">
        <v>44890.0</v>
      </c>
      <c r="B217" s="1">
        <v>113.879997</v>
      </c>
      <c r="C217" s="1">
        <v>114.610001</v>
      </c>
      <c r="D217" s="1">
        <v>113.059998</v>
      </c>
      <c r="E217" s="1">
        <v>113.209999</v>
      </c>
      <c r="F217" s="1">
        <v>113.209999</v>
      </c>
      <c r="G217" s="1">
        <v>7136000.0</v>
      </c>
      <c r="H217" s="6">
        <v>10.24</v>
      </c>
    </row>
    <row r="218">
      <c r="A218" s="9">
        <v>44893.0</v>
      </c>
      <c r="B218" s="1">
        <v>110.660004</v>
      </c>
      <c r="C218" s="1">
        <v>111.459999</v>
      </c>
      <c r="D218" s="1">
        <v>109.620003</v>
      </c>
      <c r="E218" s="1">
        <v>109.809998</v>
      </c>
      <c r="F218" s="1">
        <v>109.809998</v>
      </c>
      <c r="G218" s="1">
        <v>2.30155E7</v>
      </c>
      <c r="H218" s="6">
        <v>10.06</v>
      </c>
    </row>
    <row r="219">
      <c r="A219" s="9">
        <v>44894.0</v>
      </c>
      <c r="B219" s="1">
        <v>110.610001</v>
      </c>
      <c r="C219" s="1">
        <v>111.800003</v>
      </c>
      <c r="D219" s="1">
        <v>109.790001</v>
      </c>
      <c r="E219" s="1">
        <v>110.540001</v>
      </c>
      <c r="F219" s="1">
        <v>110.540001</v>
      </c>
      <c r="G219" s="1">
        <v>1.44532E7</v>
      </c>
      <c r="H219" s="6">
        <v>10.18</v>
      </c>
    </row>
    <row r="220">
      <c r="A220" s="9">
        <v>44895.0</v>
      </c>
      <c r="B220" s="1">
        <v>111.540001</v>
      </c>
      <c r="C220" s="1">
        <v>111.900002</v>
      </c>
      <c r="D220" s="1">
        <v>109.779999</v>
      </c>
      <c r="E220" s="1">
        <v>111.339996</v>
      </c>
      <c r="F220" s="1">
        <v>111.339996</v>
      </c>
      <c r="G220" s="1">
        <v>2.31581E7</v>
      </c>
      <c r="H220" s="6">
        <v>10.2</v>
      </c>
    </row>
    <row r="221">
      <c r="A221" s="9">
        <v>44896.0</v>
      </c>
      <c r="B221" s="1">
        <v>111.639999</v>
      </c>
      <c r="C221" s="1">
        <v>112.07</v>
      </c>
      <c r="D221" s="1">
        <v>110.18</v>
      </c>
      <c r="E221" s="1">
        <v>110.800003</v>
      </c>
      <c r="F221" s="1">
        <v>110.800003</v>
      </c>
      <c r="G221" s="1">
        <v>1.43983E7</v>
      </c>
      <c r="H221" s="6">
        <v>10.1</v>
      </c>
    </row>
    <row r="222">
      <c r="A222" s="9">
        <v>44897.0</v>
      </c>
      <c r="B222" s="1">
        <v>109.510002</v>
      </c>
      <c r="C222" s="1">
        <v>111.709999</v>
      </c>
      <c r="D222" s="1">
        <v>109.199997</v>
      </c>
      <c r="E222" s="1">
        <v>109.860001</v>
      </c>
      <c r="F222" s="1">
        <v>109.860001</v>
      </c>
      <c r="G222" s="1">
        <v>1.52484E7</v>
      </c>
      <c r="H222" s="6">
        <v>9.97</v>
      </c>
    </row>
    <row r="223">
      <c r="A223" s="9">
        <v>44900.0</v>
      </c>
      <c r="B223" s="1">
        <v>110.699997</v>
      </c>
      <c r="C223" s="1">
        <v>111.360001</v>
      </c>
      <c r="D223" s="1">
        <v>105.940002</v>
      </c>
      <c r="E223" s="1">
        <v>106.849998</v>
      </c>
      <c r="F223" s="1">
        <v>106.849998</v>
      </c>
      <c r="G223" s="1">
        <v>1.92877E7</v>
      </c>
      <c r="H223" s="6">
        <v>10.06</v>
      </c>
    </row>
    <row r="224">
      <c r="A224" s="9">
        <v>44901.0</v>
      </c>
      <c r="B224" s="1">
        <v>105.900002</v>
      </c>
      <c r="C224" s="1">
        <v>107.040001</v>
      </c>
      <c r="D224" s="1">
        <v>103.150002</v>
      </c>
      <c r="E224" s="1">
        <v>103.879997</v>
      </c>
      <c r="F224" s="1">
        <v>103.879997</v>
      </c>
      <c r="G224" s="1">
        <v>2.1197E7</v>
      </c>
      <c r="H224" s="6">
        <v>10.04</v>
      </c>
    </row>
    <row r="225">
      <c r="A225" s="9">
        <v>44902.0</v>
      </c>
      <c r="B225" s="1">
        <v>103.779999</v>
      </c>
      <c r="C225" s="1">
        <v>104.849998</v>
      </c>
      <c r="D225" s="1">
        <v>102.370003</v>
      </c>
      <c r="E225" s="1">
        <v>103.650002</v>
      </c>
      <c r="F225" s="1">
        <v>103.650002</v>
      </c>
      <c r="G225" s="1">
        <v>2.00617E7</v>
      </c>
      <c r="H225" s="6">
        <v>9.94</v>
      </c>
    </row>
    <row r="226">
      <c r="A226" s="9">
        <v>44903.0</v>
      </c>
      <c r="B226" s="1">
        <v>106.279999</v>
      </c>
      <c r="C226" s="1">
        <v>106.800003</v>
      </c>
      <c r="D226" s="1">
        <v>103.709999</v>
      </c>
      <c r="E226" s="1">
        <v>104.419998</v>
      </c>
      <c r="F226" s="1">
        <v>104.419998</v>
      </c>
      <c r="G226" s="1">
        <v>2.11288E7</v>
      </c>
      <c r="H226" s="6">
        <v>9.81</v>
      </c>
    </row>
    <row r="227">
      <c r="A227" s="9">
        <v>44904.0</v>
      </c>
      <c r="B227" s="1">
        <v>104.589996</v>
      </c>
      <c r="C227" s="1">
        <v>105.949997</v>
      </c>
      <c r="D227" s="1">
        <v>103.300003</v>
      </c>
      <c r="E227" s="1">
        <v>103.540001</v>
      </c>
      <c r="F227" s="1">
        <v>103.540001</v>
      </c>
      <c r="G227" s="1">
        <v>2.12982E7</v>
      </c>
      <c r="H227" s="6">
        <v>9.82</v>
      </c>
    </row>
    <row r="228">
      <c r="A228" s="9">
        <v>44907.0</v>
      </c>
      <c r="B228" s="1">
        <v>103.830002</v>
      </c>
      <c r="C228" s="1">
        <v>106.239998</v>
      </c>
      <c r="D228" s="1">
        <v>103.589996</v>
      </c>
      <c r="E228" s="1">
        <v>106.089996</v>
      </c>
      <c r="F228" s="1">
        <v>106.089996</v>
      </c>
      <c r="G228" s="1">
        <v>2.04132E7</v>
      </c>
      <c r="H228" s="6">
        <v>9.85</v>
      </c>
    </row>
    <row r="229">
      <c r="A229" s="9">
        <v>44908.0</v>
      </c>
      <c r="B229" s="1">
        <v>107.800003</v>
      </c>
      <c r="C229" s="1">
        <v>108.540001</v>
      </c>
      <c r="D229" s="1">
        <v>107.019997</v>
      </c>
      <c r="E229" s="1">
        <v>107.25</v>
      </c>
      <c r="F229" s="1">
        <v>107.25</v>
      </c>
      <c r="G229" s="1">
        <v>2.43053E7</v>
      </c>
      <c r="H229" s="6">
        <v>10.0</v>
      </c>
    </row>
    <row r="230">
      <c r="A230" s="9">
        <v>44909.0</v>
      </c>
      <c r="B230" s="1">
        <v>107.989998</v>
      </c>
      <c r="C230" s="1">
        <v>108.300003</v>
      </c>
      <c r="D230" s="1">
        <v>105.75</v>
      </c>
      <c r="E230" s="1">
        <v>106.459999</v>
      </c>
      <c r="F230" s="1">
        <v>106.459999</v>
      </c>
      <c r="G230" s="1">
        <v>1.75973E7</v>
      </c>
      <c r="H230" s="6">
        <v>10.06</v>
      </c>
    </row>
    <row r="231">
      <c r="A231" s="9">
        <v>44910.0</v>
      </c>
      <c r="B231" s="1">
        <v>105.330002</v>
      </c>
      <c r="C231" s="1">
        <v>106.169998</v>
      </c>
      <c r="D231" s="1">
        <v>103.699997</v>
      </c>
      <c r="E231" s="1">
        <v>105.440002</v>
      </c>
      <c r="F231" s="1">
        <v>105.440002</v>
      </c>
      <c r="G231" s="1">
        <v>1.53651E7</v>
      </c>
      <c r="H231" s="6">
        <v>9.99</v>
      </c>
    </row>
    <row r="232">
      <c r="A232" s="9">
        <v>44911.0</v>
      </c>
      <c r="B232" s="1">
        <v>103.690002</v>
      </c>
      <c r="C232" s="1">
        <v>105.580002</v>
      </c>
      <c r="D232" s="1">
        <v>103.129997</v>
      </c>
      <c r="E232" s="1">
        <v>104.699997</v>
      </c>
      <c r="F232" s="1">
        <v>104.699997</v>
      </c>
      <c r="G232" s="1">
        <v>5.45966E7</v>
      </c>
      <c r="H232" s="6">
        <v>10.0</v>
      </c>
    </row>
    <row r="233">
      <c r="A233" s="9">
        <v>44914.0</v>
      </c>
      <c r="B233" s="1">
        <v>105.260002</v>
      </c>
      <c r="C233" s="1">
        <v>106.199997</v>
      </c>
      <c r="D233" s="1">
        <v>104.379997</v>
      </c>
      <c r="E233" s="1">
        <v>105.169998</v>
      </c>
      <c r="F233" s="1">
        <v>105.169998</v>
      </c>
      <c r="G233" s="1">
        <v>1.36111E7</v>
      </c>
      <c r="H233" s="6">
        <v>9.95</v>
      </c>
    </row>
    <row r="234">
      <c r="A234" s="9">
        <v>44915.0</v>
      </c>
      <c r="B234" s="1">
        <v>105.169998</v>
      </c>
      <c r="C234" s="1">
        <v>107.510002</v>
      </c>
      <c r="D234" s="1">
        <v>105.07</v>
      </c>
      <c r="E234" s="1">
        <v>106.690002</v>
      </c>
      <c r="F234" s="1">
        <v>106.690002</v>
      </c>
      <c r="G234" s="1">
        <v>1.468E7</v>
      </c>
      <c r="H234" s="6">
        <v>9.87</v>
      </c>
    </row>
    <row r="235">
      <c r="A235" s="9">
        <v>44916.0</v>
      </c>
      <c r="B235" s="1">
        <v>108.290001</v>
      </c>
      <c r="C235" s="1">
        <v>108.589996</v>
      </c>
      <c r="D235" s="1">
        <v>107.160004</v>
      </c>
      <c r="E235" s="1">
        <v>108.059998</v>
      </c>
      <c r="F235" s="1">
        <v>108.059998</v>
      </c>
      <c r="G235" s="1">
        <v>1.35654E7</v>
      </c>
      <c r="H235" s="6">
        <v>9.82</v>
      </c>
    </row>
    <row r="236">
      <c r="A236" s="9">
        <v>44917.0</v>
      </c>
      <c r="B236" s="1">
        <v>107.889999</v>
      </c>
      <c r="C236" s="1">
        <v>108.190002</v>
      </c>
      <c r="D236" s="1">
        <v>104.099998</v>
      </c>
      <c r="E236" s="1">
        <v>105.879997</v>
      </c>
      <c r="F236" s="1">
        <v>105.879997</v>
      </c>
      <c r="G236" s="1">
        <v>1.3213E7</v>
      </c>
      <c r="H236" s="6">
        <v>9.81</v>
      </c>
    </row>
    <row r="237">
      <c r="A237" s="9">
        <v>44918.0</v>
      </c>
      <c r="B237" s="1">
        <v>106.949997</v>
      </c>
      <c r="C237" s="1">
        <v>108.739998</v>
      </c>
      <c r="D237" s="1">
        <v>106.900002</v>
      </c>
      <c r="E237" s="1">
        <v>108.68</v>
      </c>
      <c r="F237" s="1">
        <v>108.68</v>
      </c>
      <c r="G237" s="1">
        <v>1.15394E7</v>
      </c>
      <c r="H237" s="6">
        <v>9.81</v>
      </c>
    </row>
    <row r="238">
      <c r="A238" s="9">
        <v>44923.0</v>
      </c>
      <c r="B238" s="1">
        <v>109.910004</v>
      </c>
      <c r="C238" s="1">
        <v>110.0</v>
      </c>
      <c r="D238" s="1">
        <v>107.900002</v>
      </c>
      <c r="E238" s="1">
        <v>108.379997</v>
      </c>
      <c r="F238" s="1">
        <v>108.379997</v>
      </c>
      <c r="G238" s="1">
        <v>1.07021E7</v>
      </c>
      <c r="H238" s="6">
        <v>9.98</v>
      </c>
    </row>
    <row r="239">
      <c r="A239" s="9">
        <v>44924.0</v>
      </c>
      <c r="B239" s="1">
        <v>107.989998</v>
      </c>
      <c r="C239" s="1">
        <v>109.720001</v>
      </c>
      <c r="D239" s="1">
        <v>107.989998</v>
      </c>
      <c r="E239" s="1">
        <v>109.199997</v>
      </c>
      <c r="F239" s="1">
        <v>109.199997</v>
      </c>
      <c r="G239" s="1">
        <v>1.0534E7</v>
      </c>
      <c r="H239" s="6">
        <v>9.94</v>
      </c>
    </row>
    <row r="240">
      <c r="A240" s="9">
        <v>44925.0</v>
      </c>
      <c r="B240" s="1">
        <v>108.610001</v>
      </c>
      <c r="C240" s="1">
        <v>110.5</v>
      </c>
      <c r="D240" s="1">
        <v>108.610001</v>
      </c>
      <c r="E240" s="1">
        <v>110.300003</v>
      </c>
      <c r="F240" s="1">
        <v>110.300003</v>
      </c>
      <c r="G240" s="1">
        <v>1.17933E7</v>
      </c>
      <c r="H240" s="6">
        <v>9.98</v>
      </c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  <row r="1002">
      <c r="A1002" s="10"/>
    </row>
    <row r="1003">
      <c r="A1003" s="10"/>
    </row>
    <row r="1004">
      <c r="A1004" s="10"/>
    </row>
    <row r="1005">
      <c r="A1005" s="10"/>
    </row>
    <row r="1006">
      <c r="A1006" s="10"/>
    </row>
    <row r="1007">
      <c r="A1007" s="10"/>
    </row>
    <row r="1008">
      <c r="A1008" s="10"/>
    </row>
    <row r="1009">
      <c r="A1009" s="10"/>
    </row>
    <row r="1010">
      <c r="A1010" s="10"/>
    </row>
    <row r="1011">
      <c r="A1011" s="10"/>
    </row>
    <row r="1012">
      <c r="A1012" s="10"/>
    </row>
    <row r="1013">
      <c r="A1013" s="10"/>
    </row>
    <row r="1014">
      <c r="A1014" s="10"/>
    </row>
    <row r="1015">
      <c r="A1015" s="10"/>
    </row>
    <row r="1016">
      <c r="A1016" s="10"/>
    </row>
    <row r="1017">
      <c r="A1017" s="10"/>
    </row>
    <row r="1018">
      <c r="A1018" s="10"/>
    </row>
    <row r="1019">
      <c r="A1019" s="10"/>
    </row>
    <row r="1020">
      <c r="A1020" s="10"/>
    </row>
    <row r="1021">
      <c r="A1021" s="10"/>
    </row>
    <row r="1022">
      <c r="A1022" s="10"/>
    </row>
    <row r="1023">
      <c r="A1023" s="10"/>
    </row>
    <row r="1024">
      <c r="A1024" s="10"/>
    </row>
    <row r="1025">
      <c r="A1025" s="10"/>
    </row>
    <row r="1026">
      <c r="A1026" s="10"/>
    </row>
    <row r="1027">
      <c r="A1027" s="10"/>
    </row>
    <row r="1028">
      <c r="A1028" s="10"/>
    </row>
    <row r="1029">
      <c r="A1029" s="10"/>
    </row>
    <row r="1030">
      <c r="A1030" s="10"/>
    </row>
    <row r="1031">
      <c r="A1031" s="10"/>
    </row>
    <row r="1032">
      <c r="A1032" s="10"/>
    </row>
    <row r="1033">
      <c r="A1033" s="10"/>
    </row>
    <row r="1034">
      <c r="A1034" s="10"/>
    </row>
    <row r="1035">
      <c r="A1035" s="10"/>
    </row>
    <row r="1036">
      <c r="A1036" s="10"/>
    </row>
    <row r="1037">
      <c r="A1037" s="10"/>
    </row>
    <row r="1038">
      <c r="A1038" s="10"/>
    </row>
    <row r="1039">
      <c r="A1039" s="10"/>
    </row>
    <row r="1040">
      <c r="A1040" s="10"/>
    </row>
    <row r="1041">
      <c r="A1041" s="10"/>
    </row>
    <row r="1042">
      <c r="A1042" s="10"/>
    </row>
    <row r="1043">
      <c r="A1043" s="10"/>
    </row>
    <row r="1044">
      <c r="A1044" s="10"/>
    </row>
    <row r="1045">
      <c r="A1045" s="10"/>
    </row>
    <row r="1046">
      <c r="A1046" s="10"/>
    </row>
    <row r="1047">
      <c r="A1047" s="10"/>
    </row>
    <row r="1048">
      <c r="A1048" s="10"/>
    </row>
    <row r="1049">
      <c r="A1049" s="10"/>
    </row>
    <row r="1050">
      <c r="A1050" s="10"/>
    </row>
    <row r="1051">
      <c r="A1051" s="10"/>
    </row>
    <row r="1052">
      <c r="A1052" s="10"/>
    </row>
    <row r="1053">
      <c r="A1053" s="10"/>
    </row>
    <row r="1054">
      <c r="A1054" s="10"/>
    </row>
    <row r="1055">
      <c r="A1055" s="10"/>
    </row>
    <row r="1056">
      <c r="A1056" s="10"/>
    </row>
    <row r="1057">
      <c r="A1057" s="10"/>
    </row>
    <row r="1058">
      <c r="A1058" s="10"/>
    </row>
    <row r="1059">
      <c r="A1059" s="10"/>
    </row>
    <row r="1060">
      <c r="A1060" s="10"/>
    </row>
    <row r="1061">
      <c r="A1061" s="10"/>
    </row>
    <row r="1062">
      <c r="A1062" s="10"/>
    </row>
    <row r="1063">
      <c r="A1063" s="10"/>
    </row>
    <row r="1064">
      <c r="A1064" s="10"/>
    </row>
    <row r="1065">
      <c r="A1065" s="10"/>
    </row>
    <row r="1066">
      <c r="A1066" s="10"/>
    </row>
    <row r="1067">
      <c r="A1067" s="10"/>
    </row>
    <row r="1068">
      <c r="A1068" s="10"/>
    </row>
    <row r="1069">
      <c r="A1069" s="10"/>
    </row>
    <row r="1070">
      <c r="A1070" s="10"/>
    </row>
    <row r="1071">
      <c r="A1071" s="10"/>
    </row>
    <row r="1072">
      <c r="A1072" s="10"/>
    </row>
    <row r="1073">
      <c r="A1073" s="10"/>
    </row>
    <row r="1074">
      <c r="A1074" s="10"/>
    </row>
    <row r="1075">
      <c r="A1075" s="10"/>
    </row>
    <row r="1076">
      <c r="A1076" s="10"/>
    </row>
    <row r="1077">
      <c r="A1077" s="10"/>
    </row>
    <row r="1078">
      <c r="A1078" s="10"/>
    </row>
    <row r="1079">
      <c r="A1079" s="10"/>
    </row>
    <row r="1080">
      <c r="A1080" s="10"/>
    </row>
    <row r="1081">
      <c r="A1081" s="10"/>
    </row>
    <row r="1082">
      <c r="A1082" s="10"/>
    </row>
    <row r="1083">
      <c r="A1083" s="10"/>
    </row>
    <row r="1084">
      <c r="A1084" s="10"/>
    </row>
    <row r="1085">
      <c r="A1085" s="10"/>
    </row>
    <row r="1086">
      <c r="A1086" s="10"/>
    </row>
    <row r="1087">
      <c r="A1087" s="10"/>
    </row>
    <row r="1088">
      <c r="A1088" s="10"/>
    </row>
    <row r="1089">
      <c r="A1089" s="10"/>
    </row>
    <row r="1090">
      <c r="A1090" s="10"/>
    </row>
    <row r="1091">
      <c r="A1091" s="10"/>
    </row>
    <row r="1092">
      <c r="A1092" s="10"/>
    </row>
    <row r="1093">
      <c r="A1093" s="10"/>
    </row>
    <row r="1094">
      <c r="A1094" s="10"/>
    </row>
    <row r="1095">
      <c r="A1095" s="10"/>
    </row>
    <row r="1096">
      <c r="A1096" s="10"/>
    </row>
    <row r="1097">
      <c r="A1097" s="10"/>
    </row>
    <row r="1098">
      <c r="A1098" s="10"/>
    </row>
    <row r="1099">
      <c r="A1099" s="10"/>
    </row>
    <row r="1100">
      <c r="A1100" s="10"/>
    </row>
    <row r="1101">
      <c r="A1101" s="10"/>
    </row>
    <row r="1102">
      <c r="A1102" s="10"/>
    </row>
    <row r="1103">
      <c r="A1103" s="10"/>
    </row>
    <row r="1104">
      <c r="A1104" s="10"/>
    </row>
    <row r="1105">
      <c r="A1105" s="10"/>
    </row>
    <row r="1106">
      <c r="A1106" s="10"/>
    </row>
    <row r="1107">
      <c r="A1107" s="10"/>
    </row>
    <row r="1108">
      <c r="A1108" s="10"/>
    </row>
    <row r="1109">
      <c r="A1109" s="10"/>
    </row>
    <row r="1110">
      <c r="A1110" s="10"/>
    </row>
    <row r="1111">
      <c r="A1111" s="10"/>
    </row>
    <row r="1112">
      <c r="A1112" s="10"/>
    </row>
    <row r="1113">
      <c r="A1113" s="10"/>
    </row>
    <row r="1114">
      <c r="A1114" s="10"/>
    </row>
    <row r="1115">
      <c r="A1115" s="10"/>
    </row>
    <row r="1116">
      <c r="A1116" s="10"/>
    </row>
    <row r="1117">
      <c r="A1117" s="10"/>
    </row>
    <row r="1118">
      <c r="A1118" s="10"/>
    </row>
    <row r="1119">
      <c r="A1119" s="10"/>
    </row>
    <row r="1120">
      <c r="A1120" s="10"/>
    </row>
    <row r="1121">
      <c r="A1121" s="10"/>
    </row>
    <row r="1122">
      <c r="A1122" s="10"/>
    </row>
    <row r="1123">
      <c r="A1123" s="10"/>
    </row>
    <row r="1124">
      <c r="A1124" s="10"/>
    </row>
    <row r="1125">
      <c r="A1125" s="10"/>
    </row>
    <row r="1126">
      <c r="A1126" s="10"/>
    </row>
    <row r="1127">
      <c r="A1127" s="10"/>
    </row>
    <row r="1128">
      <c r="A1128" s="10"/>
    </row>
    <row r="1129">
      <c r="A1129" s="10"/>
    </row>
    <row r="1130">
      <c r="A1130" s="10"/>
    </row>
    <row r="1131">
      <c r="A1131" s="10"/>
    </row>
    <row r="1132">
      <c r="A1132" s="10"/>
    </row>
    <row r="1133">
      <c r="A1133" s="10"/>
    </row>
    <row r="1134">
      <c r="A1134" s="10"/>
    </row>
    <row r="1135">
      <c r="A1135" s="10"/>
    </row>
    <row r="1136">
      <c r="A1136" s="10"/>
    </row>
    <row r="1137">
      <c r="A1137" s="10"/>
    </row>
    <row r="1138">
      <c r="A1138" s="10"/>
    </row>
    <row r="1139">
      <c r="A1139" s="10"/>
    </row>
    <row r="1140">
      <c r="A1140" s="10"/>
    </row>
    <row r="1141">
      <c r="A1141" s="10"/>
    </row>
    <row r="1142">
      <c r="A1142" s="10"/>
    </row>
    <row r="1143">
      <c r="A1143" s="10"/>
    </row>
    <row r="1144">
      <c r="A1144" s="10"/>
    </row>
    <row r="1145">
      <c r="A1145" s="10"/>
    </row>
    <row r="1146">
      <c r="A1146" s="10"/>
    </row>
    <row r="1147">
      <c r="A1147" s="10"/>
    </row>
    <row r="1148">
      <c r="A1148" s="10"/>
    </row>
    <row r="1149">
      <c r="A1149" s="10"/>
    </row>
    <row r="1150">
      <c r="A1150" s="10"/>
    </row>
    <row r="1151">
      <c r="A1151" s="10"/>
    </row>
    <row r="1152">
      <c r="A1152" s="10"/>
    </row>
    <row r="1153">
      <c r="A1153" s="10"/>
    </row>
    <row r="1154">
      <c r="A1154" s="10"/>
    </row>
    <row r="1155">
      <c r="A1155" s="10"/>
    </row>
    <row r="1156">
      <c r="A1156" s="10"/>
    </row>
    <row r="1157">
      <c r="A1157" s="10"/>
    </row>
    <row r="1158">
      <c r="A1158" s="10"/>
    </row>
    <row r="1159">
      <c r="A1159" s="10"/>
    </row>
    <row r="1160">
      <c r="A1160" s="10"/>
    </row>
    <row r="1161">
      <c r="A1161" s="10"/>
    </row>
    <row r="1162">
      <c r="A1162" s="10"/>
    </row>
    <row r="1163">
      <c r="A1163" s="10"/>
    </row>
    <row r="1164">
      <c r="A1164" s="10"/>
    </row>
    <row r="1165">
      <c r="A1165" s="10"/>
    </row>
    <row r="1166">
      <c r="A1166" s="10"/>
    </row>
    <row r="1167">
      <c r="A1167" s="10"/>
    </row>
    <row r="1168">
      <c r="A1168" s="10"/>
    </row>
    <row r="1169">
      <c r="A1169" s="10"/>
    </row>
    <row r="1170">
      <c r="A1170" s="10"/>
    </row>
    <row r="1171">
      <c r="A1171" s="10"/>
    </row>
    <row r="1172">
      <c r="A1172" s="10"/>
    </row>
    <row r="1173">
      <c r="A1173" s="10"/>
    </row>
    <row r="1174">
      <c r="A1174" s="10"/>
    </row>
    <row r="1175">
      <c r="A1175" s="10"/>
    </row>
    <row r="1176">
      <c r="A1176" s="10"/>
    </row>
    <row r="1177">
      <c r="A1177" s="10"/>
    </row>
    <row r="1178">
      <c r="A1178" s="10"/>
    </row>
    <row r="1179">
      <c r="A1179" s="10"/>
    </row>
    <row r="1180">
      <c r="A1180" s="10"/>
    </row>
    <row r="1181">
      <c r="A1181" s="10"/>
    </row>
    <row r="1182">
      <c r="A1182" s="10"/>
    </row>
    <row r="1183">
      <c r="A1183" s="10"/>
    </row>
    <row r="1184">
      <c r="A1184" s="10"/>
    </row>
    <row r="1185">
      <c r="A1185" s="10"/>
    </row>
    <row r="1186">
      <c r="A1186" s="10"/>
    </row>
    <row r="1187">
      <c r="A1187" s="10"/>
    </row>
    <row r="1188">
      <c r="A1188" s="10"/>
    </row>
    <row r="1189">
      <c r="A1189" s="10"/>
    </row>
    <row r="1190">
      <c r="A1190" s="10"/>
    </row>
    <row r="1191">
      <c r="A1191" s="10"/>
    </row>
    <row r="1192">
      <c r="A1192" s="10"/>
    </row>
    <row r="1193">
      <c r="A1193" s="10"/>
    </row>
    <row r="1194">
      <c r="A1194" s="10"/>
    </row>
    <row r="1195">
      <c r="A1195" s="10"/>
    </row>
    <row r="1196">
      <c r="A1196" s="10"/>
    </row>
    <row r="1197">
      <c r="A1197" s="10"/>
    </row>
    <row r="1198">
      <c r="A1198" s="10"/>
    </row>
    <row r="1199">
      <c r="A1199" s="10"/>
    </row>
    <row r="1200">
      <c r="A1200" s="10"/>
    </row>
    <row r="1201">
      <c r="A1201" s="10"/>
    </row>
    <row r="1202">
      <c r="A1202" s="10"/>
    </row>
    <row r="1203">
      <c r="A1203" s="10"/>
    </row>
    <row r="1204">
      <c r="A1204" s="10"/>
    </row>
    <row r="1205">
      <c r="A1205" s="10"/>
    </row>
    <row r="1206">
      <c r="A1206" s="10"/>
    </row>
    <row r="1207">
      <c r="A1207" s="10"/>
    </row>
    <row r="1208">
      <c r="A1208" s="10"/>
    </row>
    <row r="1209">
      <c r="A1209" s="10"/>
    </row>
    <row r="1210">
      <c r="A1210" s="10"/>
    </row>
    <row r="1211">
      <c r="A1211" s="10"/>
    </row>
    <row r="1212">
      <c r="A1212" s="10"/>
    </row>
    <row r="1213">
      <c r="A1213" s="10"/>
    </row>
    <row r="1214">
      <c r="A1214" s="10"/>
    </row>
    <row r="1215">
      <c r="A1215" s="10"/>
    </row>
    <row r="1216">
      <c r="A1216" s="10"/>
    </row>
    <row r="1217">
      <c r="A1217" s="10"/>
    </row>
    <row r="1218">
      <c r="A1218" s="10"/>
    </row>
    <row r="1219">
      <c r="A1219" s="10"/>
    </row>
    <row r="1220">
      <c r="A1220" s="10"/>
    </row>
    <row r="1221">
      <c r="A1221" s="10"/>
    </row>
    <row r="1222">
      <c r="A1222" s="10"/>
    </row>
    <row r="1223">
      <c r="A1223" s="10"/>
    </row>
    <row r="1224">
      <c r="A1224" s="10"/>
    </row>
    <row r="1225">
      <c r="A1225" s="10"/>
    </row>
    <row r="1226">
      <c r="A1226" s="10"/>
    </row>
    <row r="1227">
      <c r="A1227" s="10"/>
    </row>
    <row r="1228">
      <c r="A1228" s="10"/>
    </row>
    <row r="1229">
      <c r="A1229" s="10"/>
    </row>
    <row r="1230">
      <c r="A1230" s="10"/>
    </row>
    <row r="1231">
      <c r="A1231" s="10"/>
    </row>
    <row r="1232">
      <c r="A1232" s="10"/>
    </row>
    <row r="1233">
      <c r="A1233" s="10"/>
    </row>
    <row r="1234">
      <c r="A1234" s="10"/>
    </row>
    <row r="1235">
      <c r="A1235" s="10"/>
    </row>
    <row r="1236">
      <c r="A1236" s="10"/>
    </row>
    <row r="1237">
      <c r="A1237" s="10"/>
    </row>
    <row r="1238">
      <c r="A1238" s="10"/>
    </row>
    <row r="1239">
      <c r="A1239" s="10"/>
    </row>
    <row r="1240">
      <c r="A1240" s="10"/>
    </row>
    <row r="1241">
      <c r="A1241" s="10"/>
    </row>
    <row r="1242">
      <c r="A1242" s="10"/>
    </row>
    <row r="1243">
      <c r="A1243" s="10"/>
    </row>
    <row r="1244">
      <c r="A1244" s="10"/>
    </row>
    <row r="1245">
      <c r="A1245" s="10"/>
    </row>
    <row r="1246">
      <c r="A1246" s="10"/>
    </row>
    <row r="1247">
      <c r="A1247" s="10"/>
    </row>
    <row r="1248">
      <c r="A1248" s="10"/>
    </row>
    <row r="1249">
      <c r="A1249" s="10"/>
    </row>
    <row r="1250">
      <c r="A1250" s="10"/>
    </row>
    <row r="1251">
      <c r="A1251" s="10"/>
    </row>
    <row r="1252">
      <c r="A1252" s="10"/>
    </row>
    <row r="1253">
      <c r="A1253" s="10"/>
    </row>
    <row r="1254">
      <c r="A1254" s="10"/>
    </row>
    <row r="1255">
      <c r="A1255" s="10"/>
    </row>
    <row r="1256">
      <c r="A1256" s="10"/>
    </row>
    <row r="1257">
      <c r="A1257" s="10"/>
    </row>
    <row r="1258">
      <c r="A1258" s="10"/>
    </row>
    <row r="1259">
      <c r="A1259" s="10"/>
    </row>
    <row r="1260">
      <c r="A1260" s="10"/>
    </row>
    <row r="1261">
      <c r="A1261" s="10"/>
    </row>
    <row r="1262">
      <c r="A1262" s="10"/>
    </row>
    <row r="1263">
      <c r="A1263" s="10"/>
    </row>
    <row r="1264">
      <c r="A1264" s="10"/>
    </row>
    <row r="1265">
      <c r="A1265" s="10"/>
    </row>
    <row r="1266">
      <c r="A1266" s="10"/>
    </row>
    <row r="1267">
      <c r="A1267" s="10"/>
    </row>
    <row r="1268">
      <c r="A1268" s="10"/>
    </row>
    <row r="1269">
      <c r="A1269" s="10"/>
    </row>
    <row r="1270">
      <c r="A1270" s="10"/>
    </row>
    <row r="1271">
      <c r="A1271" s="10"/>
    </row>
    <row r="1272">
      <c r="A1272" s="10"/>
    </row>
    <row r="1273">
      <c r="A1273" s="10"/>
    </row>
    <row r="1274">
      <c r="A1274" s="10"/>
    </row>
    <row r="1275">
      <c r="A1275" s="10"/>
    </row>
    <row r="1276">
      <c r="A1276" s="10"/>
    </row>
    <row r="1277">
      <c r="A1277" s="10"/>
    </row>
    <row r="1278">
      <c r="A1278" s="10"/>
    </row>
    <row r="1279">
      <c r="A1279" s="10"/>
    </row>
    <row r="1280">
      <c r="A1280" s="10"/>
    </row>
    <row r="1281">
      <c r="A1281" s="10"/>
    </row>
    <row r="1282">
      <c r="A1282" s="10"/>
    </row>
    <row r="1283">
      <c r="A1283" s="10"/>
    </row>
    <row r="1284">
      <c r="A1284" s="10"/>
    </row>
    <row r="1285">
      <c r="A1285" s="10"/>
    </row>
    <row r="1286">
      <c r="A1286" s="10"/>
    </row>
    <row r="1287">
      <c r="A1287" s="10"/>
    </row>
    <row r="1288">
      <c r="A1288" s="10"/>
    </row>
    <row r="1289">
      <c r="A1289" s="10"/>
    </row>
    <row r="1290">
      <c r="A1290" s="10"/>
    </row>
    <row r="1291">
      <c r="A1291" s="10"/>
    </row>
    <row r="1292">
      <c r="A1292" s="10"/>
    </row>
    <row r="1293">
      <c r="A1293" s="10"/>
    </row>
    <row r="1294">
      <c r="A1294" s="10"/>
    </row>
    <row r="1295">
      <c r="A1295" s="10"/>
    </row>
    <row r="1296">
      <c r="A1296" s="10"/>
    </row>
    <row r="1297">
      <c r="A1297" s="10"/>
    </row>
    <row r="1298">
      <c r="A1298" s="10"/>
    </row>
    <row r="1299">
      <c r="A1299" s="10"/>
    </row>
    <row r="1300">
      <c r="A1300" s="10"/>
    </row>
    <row r="1301">
      <c r="A1301" s="10"/>
    </row>
    <row r="1302">
      <c r="A1302" s="10"/>
    </row>
    <row r="1303">
      <c r="A1303" s="10"/>
    </row>
    <row r="1304">
      <c r="A1304" s="10"/>
    </row>
    <row r="1305">
      <c r="A1305" s="10"/>
    </row>
    <row r="1306">
      <c r="A1306" s="10"/>
    </row>
    <row r="1307">
      <c r="A1307" s="10"/>
    </row>
    <row r="1308">
      <c r="A1308" s="10"/>
    </row>
    <row r="1309">
      <c r="A1309" s="10"/>
    </row>
    <row r="1310">
      <c r="A1310" s="10"/>
    </row>
    <row r="1311">
      <c r="A1311" s="10"/>
    </row>
    <row r="1312">
      <c r="A1312" s="10"/>
    </row>
    <row r="1313">
      <c r="A1313" s="10"/>
    </row>
    <row r="1314">
      <c r="A1314" s="10"/>
    </row>
    <row r="1315">
      <c r="A1315" s="10"/>
    </row>
    <row r="1316">
      <c r="A1316" s="10"/>
    </row>
    <row r="1317">
      <c r="A1317" s="10"/>
    </row>
    <row r="1318">
      <c r="A1318" s="10"/>
    </row>
    <row r="1319">
      <c r="A1319" s="10"/>
    </row>
    <row r="1320">
      <c r="A1320" s="10"/>
    </row>
    <row r="1321">
      <c r="A1321" s="10"/>
    </row>
    <row r="1322">
      <c r="A1322" s="10"/>
    </row>
    <row r="1323">
      <c r="A1323" s="10"/>
    </row>
    <row r="1324">
      <c r="A1324" s="10"/>
    </row>
    <row r="1325">
      <c r="A1325" s="10"/>
    </row>
    <row r="1326">
      <c r="A1326" s="10"/>
    </row>
    <row r="1327">
      <c r="A1327" s="10"/>
    </row>
    <row r="1328">
      <c r="A1328" s="10"/>
    </row>
    <row r="1329">
      <c r="A1329" s="10"/>
    </row>
    <row r="1330">
      <c r="A1330" s="10"/>
    </row>
    <row r="1331">
      <c r="A1331" s="10"/>
    </row>
    <row r="1332">
      <c r="A1332" s="10"/>
    </row>
    <row r="1333">
      <c r="A1333" s="10"/>
    </row>
    <row r="1334">
      <c r="A1334" s="10"/>
    </row>
    <row r="1335">
      <c r="A1335" s="10"/>
    </row>
    <row r="1336">
      <c r="A1336" s="10"/>
    </row>
    <row r="1337">
      <c r="A1337" s="10"/>
    </row>
    <row r="1338">
      <c r="A1338" s="10"/>
    </row>
    <row r="1339">
      <c r="A1339" s="10"/>
    </row>
    <row r="1340">
      <c r="A1340" s="10"/>
    </row>
    <row r="1341">
      <c r="A1341" s="10"/>
    </row>
    <row r="1342">
      <c r="A1342" s="10"/>
    </row>
    <row r="1343">
      <c r="A1343" s="10"/>
    </row>
    <row r="1344">
      <c r="A1344" s="10"/>
    </row>
    <row r="1345">
      <c r="A1345" s="10"/>
    </row>
    <row r="1346">
      <c r="A1346" s="10"/>
    </row>
    <row r="1347">
      <c r="A1347" s="10"/>
    </row>
    <row r="1348">
      <c r="A1348" s="10"/>
    </row>
    <row r="1349">
      <c r="A1349" s="10"/>
    </row>
    <row r="1350">
      <c r="A1350" s="10"/>
    </row>
    <row r="1351">
      <c r="A1351" s="10"/>
    </row>
    <row r="1352">
      <c r="A1352" s="10"/>
    </row>
    <row r="1353">
      <c r="A1353" s="10"/>
    </row>
    <row r="1354">
      <c r="A1354" s="10"/>
    </row>
    <row r="1355">
      <c r="A1355" s="10"/>
    </row>
    <row r="1356">
      <c r="A1356" s="10"/>
    </row>
    <row r="1357">
      <c r="A1357" s="10"/>
    </row>
    <row r="1358">
      <c r="A1358" s="10"/>
    </row>
    <row r="1359">
      <c r="A1359" s="10"/>
    </row>
    <row r="1360">
      <c r="A1360" s="10"/>
    </row>
    <row r="1361">
      <c r="A1361" s="10"/>
    </row>
    <row r="1362">
      <c r="A1362" s="10"/>
    </row>
    <row r="1363">
      <c r="A1363" s="10"/>
    </row>
    <row r="1364">
      <c r="A1364" s="10"/>
    </row>
    <row r="1365">
      <c r="A1365" s="10"/>
    </row>
    <row r="1366">
      <c r="A1366" s="10"/>
    </row>
    <row r="1367">
      <c r="A1367" s="10"/>
    </row>
    <row r="1368">
      <c r="A1368" s="10"/>
    </row>
    <row r="1369">
      <c r="A1369" s="10"/>
    </row>
    <row r="1370">
      <c r="A1370" s="10"/>
    </row>
    <row r="1371">
      <c r="A1371" s="10"/>
    </row>
    <row r="1372">
      <c r="A1372" s="10"/>
    </row>
    <row r="1373">
      <c r="A1373" s="10"/>
    </row>
    <row r="1374">
      <c r="A1374" s="10"/>
    </row>
    <row r="1375">
      <c r="A1375" s="10"/>
    </row>
    <row r="1376">
      <c r="A1376" s="10"/>
    </row>
    <row r="1377">
      <c r="A1377" s="10"/>
    </row>
    <row r="1378">
      <c r="A1378" s="10"/>
    </row>
    <row r="1379">
      <c r="A1379" s="10"/>
    </row>
    <row r="1380">
      <c r="A1380" s="10"/>
    </row>
    <row r="1381">
      <c r="A1381" s="10"/>
    </row>
    <row r="1382">
      <c r="A1382" s="10"/>
    </row>
    <row r="1383">
      <c r="A1383" s="10"/>
    </row>
    <row r="1384">
      <c r="A1384" s="10"/>
    </row>
    <row r="1385">
      <c r="A1385" s="10"/>
    </row>
    <row r="1386">
      <c r="A1386" s="10"/>
    </row>
    <row r="1387">
      <c r="A1387" s="10"/>
    </row>
    <row r="1388">
      <c r="A1388" s="10"/>
    </row>
    <row r="1389">
      <c r="A1389" s="10"/>
    </row>
    <row r="1390">
      <c r="A1390" s="10"/>
    </row>
    <row r="1391">
      <c r="A1391" s="10"/>
    </row>
    <row r="1392">
      <c r="A1392" s="10"/>
    </row>
    <row r="1393">
      <c r="A1393" s="10"/>
    </row>
    <row r="1394">
      <c r="A1394" s="10"/>
    </row>
    <row r="1395">
      <c r="A1395" s="10"/>
    </row>
    <row r="1396">
      <c r="A1396" s="10"/>
    </row>
    <row r="1397">
      <c r="A1397" s="10"/>
    </row>
    <row r="1398">
      <c r="A1398" s="10"/>
    </row>
    <row r="1399">
      <c r="A1399" s="10"/>
    </row>
    <row r="1400">
      <c r="A1400" s="10"/>
    </row>
    <row r="1401">
      <c r="A1401" s="10"/>
    </row>
    <row r="1402">
      <c r="A1402" s="10"/>
    </row>
    <row r="1403">
      <c r="A1403" s="10"/>
    </row>
    <row r="1404">
      <c r="A1404" s="10"/>
    </row>
    <row r="1405">
      <c r="A1405" s="10"/>
    </row>
    <row r="1406">
      <c r="A1406" s="10"/>
    </row>
    <row r="1407">
      <c r="A1407" s="10"/>
    </row>
    <row r="1408">
      <c r="A1408" s="10"/>
    </row>
    <row r="1409">
      <c r="A1409" s="10"/>
    </row>
    <row r="1410">
      <c r="A1410" s="10"/>
    </row>
    <row r="1411">
      <c r="A1411" s="10"/>
    </row>
    <row r="1412">
      <c r="A1412" s="10"/>
    </row>
    <row r="1413">
      <c r="A1413" s="10"/>
    </row>
    <row r="1414">
      <c r="A1414" s="10"/>
    </row>
    <row r="1415">
      <c r="A1415" s="10"/>
    </row>
    <row r="1416">
      <c r="A1416" s="10"/>
    </row>
    <row r="1417">
      <c r="A1417" s="10"/>
    </row>
    <row r="1418">
      <c r="A1418" s="10"/>
    </row>
    <row r="1419">
      <c r="A1419" s="10"/>
    </row>
    <row r="1420">
      <c r="A1420" s="10"/>
    </row>
    <row r="1421">
      <c r="A1421" s="10"/>
    </row>
    <row r="1422">
      <c r="A1422" s="10"/>
    </row>
    <row r="1423">
      <c r="A1423" s="10"/>
    </row>
    <row r="1424">
      <c r="A1424" s="10"/>
    </row>
    <row r="1425">
      <c r="A1425" s="10"/>
    </row>
    <row r="1426">
      <c r="A1426" s="10"/>
    </row>
    <row r="1427">
      <c r="A1427" s="10"/>
    </row>
    <row r="1428">
      <c r="A1428" s="10"/>
    </row>
    <row r="1429">
      <c r="A1429" s="10"/>
    </row>
    <row r="1430">
      <c r="A1430" s="10"/>
    </row>
    <row r="1431">
      <c r="A1431" s="10"/>
    </row>
    <row r="1432">
      <c r="A1432" s="10"/>
    </row>
    <row r="1433">
      <c r="A1433" s="10"/>
    </row>
    <row r="1434">
      <c r="A1434" s="10"/>
    </row>
    <row r="1435">
      <c r="A1435" s="10"/>
    </row>
    <row r="1436">
      <c r="A1436" s="10"/>
    </row>
    <row r="1437">
      <c r="A1437" s="10"/>
    </row>
    <row r="1438">
      <c r="A1438" s="10"/>
    </row>
    <row r="1439">
      <c r="A1439" s="10"/>
    </row>
    <row r="1440">
      <c r="A1440" s="10"/>
    </row>
    <row r="1441">
      <c r="A1441" s="10"/>
    </row>
    <row r="1442">
      <c r="A1442" s="10"/>
    </row>
    <row r="1443">
      <c r="A1443" s="10"/>
    </row>
    <row r="1444">
      <c r="A1444" s="10"/>
    </row>
    <row r="1445">
      <c r="A1445" s="10"/>
    </row>
    <row r="1446">
      <c r="A1446" s="10"/>
    </row>
    <row r="1447">
      <c r="A1447" s="10"/>
    </row>
    <row r="1448">
      <c r="A1448" s="10"/>
    </row>
    <row r="1449">
      <c r="A1449" s="10"/>
    </row>
    <row r="1450">
      <c r="A1450" s="10"/>
    </row>
    <row r="1451">
      <c r="A1451" s="10"/>
    </row>
    <row r="1452">
      <c r="A1452" s="10"/>
    </row>
    <row r="1453">
      <c r="A1453" s="10"/>
    </row>
    <row r="1454">
      <c r="A1454" s="10"/>
    </row>
    <row r="1455">
      <c r="A1455" s="10"/>
    </row>
    <row r="1456">
      <c r="A1456" s="10"/>
    </row>
    <row r="1457">
      <c r="A1457" s="10"/>
    </row>
    <row r="1458">
      <c r="A1458" s="10"/>
    </row>
    <row r="1459">
      <c r="A1459" s="10"/>
    </row>
    <row r="1460">
      <c r="A1460" s="10"/>
    </row>
    <row r="1461">
      <c r="A1461" s="10"/>
    </row>
    <row r="1462">
      <c r="A1462" s="10"/>
    </row>
    <row r="1463">
      <c r="A1463" s="10"/>
    </row>
    <row r="1464">
      <c r="A1464" s="10"/>
    </row>
    <row r="1465">
      <c r="A1465" s="10"/>
    </row>
    <row r="1466">
      <c r="A1466" s="10"/>
    </row>
    <row r="1467">
      <c r="A1467" s="10"/>
    </row>
    <row r="1468">
      <c r="A1468" s="10"/>
    </row>
    <row r="1469">
      <c r="A1469" s="10"/>
    </row>
    <row r="1470">
      <c r="A1470" s="10"/>
    </row>
    <row r="1471">
      <c r="A1471" s="10"/>
    </row>
    <row r="1472">
      <c r="A1472" s="10"/>
    </row>
    <row r="1473">
      <c r="A1473" s="10"/>
    </row>
    <row r="1474">
      <c r="A1474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>
      <c r="A2" s="5">
        <v>44929.0</v>
      </c>
      <c r="B2" s="6">
        <v>109.779999</v>
      </c>
      <c r="C2" s="6">
        <v>110.019997</v>
      </c>
      <c r="D2" s="6">
        <v>105.489998</v>
      </c>
      <c r="E2" s="6">
        <v>106.510002</v>
      </c>
      <c r="F2" s="6">
        <v>105.696678</v>
      </c>
      <c r="G2" s="6">
        <v>1.51462E7</v>
      </c>
      <c r="H2" s="6">
        <v>10.1</v>
      </c>
    </row>
    <row r="3">
      <c r="A3" s="5">
        <v>44930.0</v>
      </c>
      <c r="B3" s="6">
        <v>104.800003</v>
      </c>
      <c r="C3" s="6">
        <v>107.160004</v>
      </c>
      <c r="D3" s="6">
        <v>104.760002</v>
      </c>
      <c r="E3" s="6">
        <v>106.82</v>
      </c>
      <c r="F3" s="6">
        <v>106.004311</v>
      </c>
      <c r="G3" s="6">
        <v>1.80584E7</v>
      </c>
      <c r="H3" s="6">
        <v>10.04</v>
      </c>
    </row>
    <row r="4">
      <c r="A4" s="5">
        <v>44931.0</v>
      </c>
      <c r="B4" s="6">
        <v>106.339996</v>
      </c>
      <c r="C4" s="6">
        <v>109.949997</v>
      </c>
      <c r="D4" s="6">
        <v>106.309998</v>
      </c>
      <c r="E4" s="6">
        <v>109.209999</v>
      </c>
      <c r="F4" s="6">
        <v>108.37606</v>
      </c>
      <c r="G4" s="6">
        <v>1.59466E7</v>
      </c>
      <c r="H4" s="6">
        <v>9.97</v>
      </c>
    </row>
    <row r="5">
      <c r="A5" s="5">
        <v>44932.0</v>
      </c>
      <c r="B5" s="6">
        <v>110.080002</v>
      </c>
      <c r="C5" s="6">
        <v>111.989998</v>
      </c>
      <c r="D5" s="6">
        <v>109.669998</v>
      </c>
      <c r="E5" s="6">
        <v>110.529999</v>
      </c>
      <c r="F5" s="6">
        <v>109.685974</v>
      </c>
      <c r="G5" s="6">
        <v>1.63423E7</v>
      </c>
      <c r="H5" s="6">
        <v>10.0</v>
      </c>
    </row>
    <row r="6">
      <c r="A6" s="5">
        <v>44935.0</v>
      </c>
      <c r="B6" s="6">
        <v>111.639999</v>
      </c>
      <c r="C6" s="6">
        <v>111.639999</v>
      </c>
      <c r="D6" s="6">
        <v>107.809998</v>
      </c>
      <c r="E6" s="6">
        <v>108.470001</v>
      </c>
      <c r="F6" s="6">
        <v>107.641708</v>
      </c>
      <c r="G6" s="6">
        <v>1.79646E7</v>
      </c>
      <c r="H6" s="6">
        <v>9.95</v>
      </c>
    </row>
    <row r="7">
      <c r="A7" s="5">
        <v>44936.0</v>
      </c>
      <c r="B7" s="6">
        <v>109.790001</v>
      </c>
      <c r="C7" s="6">
        <v>110.330002</v>
      </c>
      <c r="D7" s="6">
        <v>108.010002</v>
      </c>
      <c r="E7" s="6">
        <v>110.089996</v>
      </c>
      <c r="F7" s="6">
        <v>109.249336</v>
      </c>
      <c r="G7" s="6">
        <v>1.51046E7</v>
      </c>
      <c r="H7" s="6">
        <v>9.95</v>
      </c>
    </row>
    <row r="8">
      <c r="A8" s="5">
        <v>44937.0</v>
      </c>
      <c r="B8" s="6">
        <v>110.989998</v>
      </c>
      <c r="C8" s="6">
        <v>111.449997</v>
      </c>
      <c r="D8" s="6">
        <v>109.089996</v>
      </c>
      <c r="E8" s="6">
        <v>111.370003</v>
      </c>
      <c r="F8" s="6">
        <v>110.519569</v>
      </c>
      <c r="G8" s="6">
        <v>1.67104E7</v>
      </c>
      <c r="H8" s="6">
        <v>10.1</v>
      </c>
    </row>
    <row r="9">
      <c r="A9" s="5">
        <v>44938.0</v>
      </c>
      <c r="B9" s="6">
        <v>111.82</v>
      </c>
      <c r="C9" s="6">
        <v>113.739998</v>
      </c>
      <c r="D9" s="6">
        <v>111.739998</v>
      </c>
      <c r="E9" s="6">
        <v>113.220001</v>
      </c>
      <c r="F9" s="6">
        <v>112.355438</v>
      </c>
      <c r="G9" s="6">
        <v>1.53573E7</v>
      </c>
      <c r="H9" s="6">
        <v>10.34</v>
      </c>
    </row>
    <row r="10">
      <c r="A10" s="5">
        <v>44939.0</v>
      </c>
      <c r="B10" s="6">
        <v>113.110001</v>
      </c>
      <c r="C10" s="6">
        <v>113.489998</v>
      </c>
      <c r="D10" s="6">
        <v>112.160004</v>
      </c>
      <c r="E10" s="6">
        <v>113.150002</v>
      </c>
      <c r="F10" s="6">
        <v>112.285973</v>
      </c>
      <c r="G10" s="6">
        <v>1.20083E7</v>
      </c>
      <c r="H10" s="6">
        <v>10.46</v>
      </c>
    </row>
    <row r="11">
      <c r="A11" s="5">
        <v>44943.0</v>
      </c>
      <c r="B11" s="6">
        <v>113.410004</v>
      </c>
      <c r="C11" s="6">
        <v>114.080002</v>
      </c>
      <c r="D11" s="6">
        <v>112.669998</v>
      </c>
      <c r="E11" s="6">
        <v>112.93</v>
      </c>
      <c r="F11" s="6">
        <v>112.06765</v>
      </c>
      <c r="G11" s="6">
        <v>1.65422E7</v>
      </c>
      <c r="H11" s="6">
        <v>10.5</v>
      </c>
    </row>
    <row r="12">
      <c r="A12" s="5">
        <v>44944.0</v>
      </c>
      <c r="B12" s="6">
        <v>113.260002</v>
      </c>
      <c r="C12" s="6">
        <v>114.120003</v>
      </c>
      <c r="D12" s="6">
        <v>110.400002</v>
      </c>
      <c r="E12" s="6">
        <v>110.610001</v>
      </c>
      <c r="F12" s="6">
        <v>109.765366</v>
      </c>
      <c r="G12" s="6">
        <v>1.63997E7</v>
      </c>
      <c r="H12" s="6">
        <v>10.84</v>
      </c>
    </row>
    <row r="13">
      <c r="A13" s="5">
        <v>44945.0</v>
      </c>
      <c r="B13" s="6">
        <v>110.07</v>
      </c>
      <c r="C13" s="6">
        <v>112.129997</v>
      </c>
      <c r="D13" s="6">
        <v>109.580002</v>
      </c>
      <c r="E13" s="6">
        <v>111.32</v>
      </c>
      <c r="F13" s="6">
        <v>110.469948</v>
      </c>
      <c r="G13" s="6">
        <v>1.2928E7</v>
      </c>
      <c r="H13" s="6">
        <v>10.8</v>
      </c>
    </row>
    <row r="14">
      <c r="A14" s="5">
        <v>44946.0</v>
      </c>
      <c r="B14" s="6">
        <v>111.360001</v>
      </c>
      <c r="C14" s="6">
        <v>113.440002</v>
      </c>
      <c r="D14" s="6">
        <v>110.610001</v>
      </c>
      <c r="E14" s="6">
        <v>113.349998</v>
      </c>
      <c r="F14" s="6">
        <v>112.484444</v>
      </c>
      <c r="G14" s="6">
        <v>1.64814E7</v>
      </c>
      <c r="H14" s="6">
        <v>11.38</v>
      </c>
    </row>
    <row r="15">
      <c r="A15" s="5">
        <v>44952.0</v>
      </c>
      <c r="B15" s="6">
        <v>114.720001</v>
      </c>
      <c r="C15" s="6">
        <v>117.779999</v>
      </c>
      <c r="D15" s="6">
        <v>114.339996</v>
      </c>
      <c r="E15" s="6">
        <v>117.760002</v>
      </c>
      <c r="F15" s="6">
        <v>116.860771</v>
      </c>
      <c r="G15" s="6">
        <v>2.10197E7</v>
      </c>
      <c r="H15" s="6">
        <v>11.48</v>
      </c>
    </row>
    <row r="16">
      <c r="A16" s="5">
        <v>44953.0</v>
      </c>
      <c r="B16" s="6">
        <v>116.949997</v>
      </c>
      <c r="C16" s="6">
        <v>117.669998</v>
      </c>
      <c r="D16" s="6">
        <v>115.389999</v>
      </c>
      <c r="E16" s="6">
        <v>115.610001</v>
      </c>
      <c r="F16" s="6">
        <v>114.727188</v>
      </c>
      <c r="G16" s="6">
        <v>1.51757E7</v>
      </c>
      <c r="H16" s="6">
        <v>11.64</v>
      </c>
    </row>
    <row r="17">
      <c r="A17" s="5">
        <v>44956.0</v>
      </c>
      <c r="B17" s="6">
        <v>115.089996</v>
      </c>
      <c r="C17" s="6">
        <v>115.489998</v>
      </c>
      <c r="D17" s="6">
        <v>113.150002</v>
      </c>
      <c r="E17" s="6">
        <v>113.559998</v>
      </c>
      <c r="F17" s="6">
        <v>112.692841</v>
      </c>
      <c r="G17" s="6">
        <v>1.86721E7</v>
      </c>
      <c r="H17" s="6">
        <v>11.38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7.0"/>
    <col customWidth="1" min="4" max="4" width="13.13"/>
    <col customWidth="1" min="6" max="6" width="13.5"/>
  </cols>
  <sheetData>
    <row r="1">
      <c r="A1" s="11" t="s">
        <v>0</v>
      </c>
      <c r="B1" s="11" t="s">
        <v>8</v>
      </c>
      <c r="C1" s="4" t="s">
        <v>9</v>
      </c>
      <c r="D1" s="4" t="s">
        <v>10</v>
      </c>
      <c r="E1" s="12" t="s">
        <v>11</v>
      </c>
      <c r="F1" s="12" t="s">
        <v>12</v>
      </c>
    </row>
    <row r="2">
      <c r="A2" s="5">
        <v>44929.0</v>
      </c>
      <c r="B2" s="11">
        <v>106.087601724527</v>
      </c>
      <c r="C2" s="6">
        <v>106.510002</v>
      </c>
      <c r="D2" s="13">
        <f t="shared" ref="D2:D11" si="1">B2-C2</f>
        <v>-0.4224002755</v>
      </c>
      <c r="E2" s="12">
        <f t="shared" ref="E2:E11" si="2">ABS(D2)</f>
        <v>0.4224002755</v>
      </c>
      <c r="F2" s="12">
        <f t="shared" ref="F2:F11" si="3">E2/C2</f>
        <v>0.003965827317</v>
      </c>
      <c r="H2" s="14"/>
    </row>
    <row r="3">
      <c r="A3" s="5">
        <v>44930.0</v>
      </c>
      <c r="B3" s="11">
        <v>106.57180339148</v>
      </c>
      <c r="C3" s="6">
        <v>106.82</v>
      </c>
      <c r="D3" s="13">
        <f t="shared" si="1"/>
        <v>-0.2481966085</v>
      </c>
      <c r="E3" s="12">
        <f t="shared" si="2"/>
        <v>0.2481966085</v>
      </c>
      <c r="F3" s="12">
        <f t="shared" si="3"/>
        <v>0.002323503169</v>
      </c>
      <c r="H3" s="14"/>
    </row>
    <row r="4">
      <c r="A4" s="5">
        <v>44931.0</v>
      </c>
      <c r="B4" s="11">
        <v>108.78944740583</v>
      </c>
      <c r="C4" s="6">
        <v>109.209999</v>
      </c>
      <c r="D4" s="13">
        <f t="shared" si="1"/>
        <v>-0.4205515942</v>
      </c>
      <c r="E4" s="12">
        <f t="shared" si="2"/>
        <v>0.4205515942</v>
      </c>
      <c r="F4" s="12">
        <f t="shared" si="3"/>
        <v>0.003850852468</v>
      </c>
      <c r="H4" s="14"/>
    </row>
    <row r="5">
      <c r="A5" s="5">
        <v>44932.0</v>
      </c>
      <c r="B5" s="11">
        <v>110.33855414947</v>
      </c>
      <c r="C5" s="6">
        <v>110.529999</v>
      </c>
      <c r="D5" s="13">
        <f t="shared" si="1"/>
        <v>-0.1914448505</v>
      </c>
      <c r="E5" s="12">
        <f t="shared" si="2"/>
        <v>0.1914448505</v>
      </c>
      <c r="F5" s="12">
        <f t="shared" si="3"/>
        <v>0.001732062356</v>
      </c>
      <c r="H5" s="14"/>
    </row>
    <row r="6">
      <c r="A6" s="5">
        <v>44935.0</v>
      </c>
      <c r="B6" s="11">
        <v>108.08401865645</v>
      </c>
      <c r="C6" s="6">
        <v>108.470001</v>
      </c>
      <c r="D6" s="13">
        <f t="shared" si="1"/>
        <v>-0.3859823435</v>
      </c>
      <c r="E6" s="12">
        <f t="shared" si="2"/>
        <v>0.3859823435</v>
      </c>
      <c r="F6" s="12">
        <f t="shared" si="3"/>
        <v>0.003558424818</v>
      </c>
      <c r="H6" s="14"/>
    </row>
    <row r="7">
      <c r="A7" s="5">
        <v>44936.0</v>
      </c>
      <c r="B7" s="11">
        <v>109.32700014553</v>
      </c>
      <c r="C7" s="6">
        <v>110.089996</v>
      </c>
      <c r="D7" s="13">
        <f t="shared" si="1"/>
        <v>-0.7629958545</v>
      </c>
      <c r="E7" s="12">
        <f t="shared" si="2"/>
        <v>0.7629958545</v>
      </c>
      <c r="F7" s="12">
        <f t="shared" si="3"/>
        <v>0.006930655665</v>
      </c>
      <c r="H7" s="14"/>
    </row>
    <row r="8">
      <c r="A8" s="5">
        <v>44937.0</v>
      </c>
      <c r="B8" s="11">
        <v>110.51276571643</v>
      </c>
      <c r="C8" s="6">
        <v>111.370003</v>
      </c>
      <c r="D8" s="13">
        <f t="shared" si="1"/>
        <v>-0.8572372836</v>
      </c>
      <c r="E8" s="12">
        <f t="shared" si="2"/>
        <v>0.8572372836</v>
      </c>
      <c r="F8" s="12">
        <f t="shared" si="3"/>
        <v>0.007697200866</v>
      </c>
    </row>
    <row r="9">
      <c r="A9" s="5">
        <v>44938.0</v>
      </c>
      <c r="B9" s="11">
        <v>112.73777059154</v>
      </c>
      <c r="C9" s="6">
        <v>113.220001</v>
      </c>
      <c r="D9" s="13">
        <f t="shared" si="1"/>
        <v>-0.4822304085</v>
      </c>
      <c r="E9" s="12">
        <f t="shared" si="2"/>
        <v>0.4822304085</v>
      </c>
      <c r="F9" s="12">
        <f t="shared" si="3"/>
        <v>0.004259233388</v>
      </c>
    </row>
    <row r="10">
      <c r="A10" s="5">
        <v>44939.0</v>
      </c>
      <c r="B10" s="11">
        <v>112.48641336543</v>
      </c>
      <c r="C10" s="6">
        <v>113.150002</v>
      </c>
      <c r="D10" s="13">
        <f t="shared" si="1"/>
        <v>-0.6635886346</v>
      </c>
      <c r="E10" s="12">
        <f t="shared" si="2"/>
        <v>0.6635886346</v>
      </c>
      <c r="F10" s="12">
        <f t="shared" si="3"/>
        <v>0.005864680714</v>
      </c>
    </row>
    <row r="11">
      <c r="A11" s="5">
        <v>44943.0</v>
      </c>
      <c r="B11" s="11">
        <v>112.60290172982</v>
      </c>
      <c r="C11" s="6">
        <v>112.93</v>
      </c>
      <c r="D11" s="13">
        <f t="shared" si="1"/>
        <v>-0.3270982702</v>
      </c>
      <c r="E11" s="12">
        <f t="shared" si="2"/>
        <v>0.3270982702</v>
      </c>
      <c r="F11" s="12">
        <f t="shared" si="3"/>
        <v>0.00289646923</v>
      </c>
    </row>
    <row r="12">
      <c r="A12" s="15">
        <v>44944.0</v>
      </c>
      <c r="B12" s="16">
        <v>110.3785546573</v>
      </c>
      <c r="C12" s="17">
        <v>110.610001</v>
      </c>
      <c r="D12" s="6"/>
    </row>
    <row r="13">
      <c r="A13" s="15">
        <v>44945.0</v>
      </c>
      <c r="B13" s="16">
        <v>110.8182697023</v>
      </c>
      <c r="C13" s="17">
        <v>111.32</v>
      </c>
      <c r="D13" s="6"/>
      <c r="E13" s="12"/>
      <c r="F13" s="12"/>
      <c r="G13" s="12" t="s">
        <v>13</v>
      </c>
      <c r="H13" s="18">
        <f>AVERAGE(E2:E11)</f>
        <v>0.4761726123</v>
      </c>
    </row>
    <row r="14">
      <c r="A14" s="15">
        <v>44946.0</v>
      </c>
      <c r="B14" s="16">
        <v>112.554530465</v>
      </c>
      <c r="C14" s="17">
        <v>113.349998</v>
      </c>
      <c r="D14" s="6"/>
      <c r="F14" s="12"/>
    </row>
    <row r="15">
      <c r="A15" s="15">
        <v>44949.0</v>
      </c>
      <c r="B15" s="16">
        <v>112.5165204489</v>
      </c>
      <c r="C15" s="17">
        <v>112.760002</v>
      </c>
      <c r="D15" s="6"/>
    </row>
    <row r="16">
      <c r="A16" s="15">
        <v>44950.0</v>
      </c>
      <c r="B16" s="16">
        <v>109.9994247062</v>
      </c>
      <c r="C16" s="17">
        <v>113.809998</v>
      </c>
      <c r="D16" s="6"/>
    </row>
    <row r="17">
      <c r="A17" s="15">
        <v>44951.0</v>
      </c>
      <c r="B17" s="16">
        <v>112.3068485904</v>
      </c>
      <c r="C17" s="17">
        <v>113.209999</v>
      </c>
      <c r="D17" s="6"/>
    </row>
    <row r="18">
      <c r="A18" s="15">
        <v>44952.0</v>
      </c>
      <c r="B18" s="16">
        <v>116.8345292828</v>
      </c>
      <c r="C18" s="17">
        <v>117.760002</v>
      </c>
      <c r="D18" s="6"/>
    </row>
    <row r="19">
      <c r="A19" s="15">
        <v>44953.0</v>
      </c>
      <c r="B19" s="16">
        <v>115.1458499521</v>
      </c>
      <c r="C19" s="17">
        <v>115.610001</v>
      </c>
      <c r="D19" s="6"/>
    </row>
    <row r="20">
      <c r="A20" s="15">
        <v>44956.0</v>
      </c>
      <c r="B20" s="16">
        <v>113.1377490143</v>
      </c>
      <c r="C20" s="17">
        <v>113.559998</v>
      </c>
      <c r="D20" s="6"/>
    </row>
    <row r="21">
      <c r="A21" s="19"/>
      <c r="B21" s="19"/>
      <c r="C21" s="4"/>
      <c r="D21" s="4"/>
    </row>
    <row r="22">
      <c r="A22" s="19"/>
      <c r="B22" s="19"/>
      <c r="C22" s="6"/>
      <c r="D22" s="6"/>
    </row>
    <row r="23">
      <c r="A23" s="19"/>
      <c r="B23" s="19"/>
      <c r="C23" s="6"/>
      <c r="D23" s="6"/>
    </row>
    <row r="24">
      <c r="A24" s="19"/>
      <c r="B24" s="19"/>
      <c r="C24" s="6"/>
      <c r="D24" s="6"/>
    </row>
    <row r="25">
      <c r="A25" s="19"/>
      <c r="B25" s="19"/>
      <c r="C25" s="6"/>
      <c r="D25" s="6"/>
    </row>
    <row r="26">
      <c r="A26" s="19"/>
      <c r="B26" s="19"/>
      <c r="C26" s="6"/>
      <c r="D26" s="6"/>
    </row>
    <row r="27">
      <c r="A27" s="19"/>
      <c r="B27" s="19"/>
      <c r="C27" s="6"/>
      <c r="D27" s="6"/>
    </row>
    <row r="28">
      <c r="A28" s="19"/>
      <c r="B28" s="19"/>
      <c r="C28" s="6"/>
      <c r="D28" s="6"/>
    </row>
    <row r="29">
      <c r="A29" s="19"/>
      <c r="B29" s="19"/>
      <c r="C29" s="6"/>
      <c r="D29" s="6"/>
    </row>
    <row r="30">
      <c r="A30" s="19"/>
      <c r="B30" s="19"/>
      <c r="C30" s="6"/>
      <c r="D30" s="6"/>
    </row>
    <row r="31">
      <c r="A31" s="19"/>
      <c r="B31" s="19"/>
      <c r="C31" s="6"/>
      <c r="D31" s="6"/>
    </row>
    <row r="32">
      <c r="A32" s="19"/>
      <c r="B32" s="19"/>
      <c r="C32" s="6"/>
      <c r="D32" s="6"/>
    </row>
    <row r="33">
      <c r="A33" s="19"/>
      <c r="B33" s="19"/>
      <c r="C33" s="6"/>
      <c r="D33" s="6"/>
    </row>
    <row r="34">
      <c r="A34" s="19"/>
      <c r="B34" s="19"/>
      <c r="C34" s="6"/>
      <c r="D34" s="6"/>
    </row>
    <row r="35">
      <c r="A35" s="19"/>
      <c r="B35" s="19"/>
      <c r="C35" s="6"/>
      <c r="D35" s="6"/>
    </row>
    <row r="36">
      <c r="A36" s="19"/>
      <c r="B36" s="19"/>
      <c r="C36" s="6"/>
      <c r="D36" s="6"/>
    </row>
    <row r="37">
      <c r="A37" s="19"/>
      <c r="B37" s="19"/>
      <c r="C37" s="6"/>
      <c r="D37" s="6"/>
    </row>
    <row r="38">
      <c r="A38" s="19"/>
      <c r="B38" s="19"/>
      <c r="C38" s="6"/>
      <c r="D38" s="6"/>
    </row>
    <row r="39">
      <c r="A39" s="19"/>
      <c r="B39" s="19"/>
      <c r="C39" s="6"/>
      <c r="D39" s="6"/>
    </row>
    <row r="40">
      <c r="A40" s="19"/>
      <c r="B40" s="19"/>
      <c r="C40" s="6"/>
      <c r="D40" s="6"/>
    </row>
    <row r="41">
      <c r="A41" s="19"/>
      <c r="B41" s="19"/>
      <c r="C41" s="4"/>
      <c r="D41" s="4"/>
    </row>
    <row r="42">
      <c r="A42" s="19"/>
      <c r="B42" s="19"/>
      <c r="C42" s="6"/>
      <c r="D42" s="6"/>
    </row>
    <row r="43">
      <c r="A43" s="19"/>
      <c r="B43" s="19"/>
      <c r="C43" s="6"/>
      <c r="D43" s="6"/>
    </row>
    <row r="44">
      <c r="A44" s="19"/>
      <c r="B44" s="19"/>
      <c r="C44" s="6"/>
      <c r="D44" s="6"/>
    </row>
    <row r="45">
      <c r="A45" s="19"/>
      <c r="B45" s="19"/>
      <c r="C45" s="6"/>
      <c r="D45" s="6"/>
    </row>
    <row r="46">
      <c r="A46" s="19"/>
      <c r="B46" s="19"/>
      <c r="C46" s="6"/>
      <c r="D46" s="6"/>
    </row>
    <row r="47">
      <c r="A47" s="19"/>
      <c r="B47" s="19"/>
      <c r="C47" s="6"/>
      <c r="D47" s="6"/>
    </row>
    <row r="48">
      <c r="A48" s="19"/>
      <c r="B48" s="19"/>
      <c r="C48" s="6"/>
      <c r="D48" s="6"/>
    </row>
    <row r="49">
      <c r="A49" s="19"/>
      <c r="B49" s="19"/>
      <c r="C49" s="6"/>
      <c r="D49" s="6"/>
    </row>
    <row r="50">
      <c r="A50" s="19"/>
      <c r="B50" s="19"/>
      <c r="C50" s="6"/>
      <c r="D50" s="6"/>
    </row>
    <row r="51">
      <c r="A51" s="19"/>
      <c r="B51" s="19"/>
      <c r="C51" s="6"/>
      <c r="D51" s="6"/>
    </row>
    <row r="52">
      <c r="A52" s="19"/>
      <c r="B52" s="19"/>
      <c r="C52" s="6"/>
      <c r="D52" s="6"/>
    </row>
    <row r="53">
      <c r="A53" s="19"/>
      <c r="B53" s="19"/>
      <c r="C53" s="6"/>
      <c r="D53" s="6"/>
    </row>
    <row r="54">
      <c r="A54" s="19"/>
      <c r="B54" s="19"/>
      <c r="C54" s="6"/>
      <c r="D54" s="6"/>
    </row>
    <row r="55">
      <c r="A55" s="19"/>
      <c r="B55" s="19"/>
      <c r="C55" s="6"/>
      <c r="D55" s="6"/>
    </row>
    <row r="56">
      <c r="A56" s="19"/>
      <c r="B56" s="19"/>
      <c r="C56" s="6"/>
      <c r="D56" s="6"/>
    </row>
    <row r="57">
      <c r="A57" s="19"/>
      <c r="B57" s="19"/>
      <c r="C57" s="6"/>
      <c r="D57" s="6"/>
    </row>
    <row r="58">
      <c r="A58" s="19"/>
      <c r="B58" s="19"/>
      <c r="C58" s="6"/>
      <c r="D58" s="6"/>
    </row>
    <row r="59">
      <c r="A59" s="19"/>
      <c r="B59" s="19"/>
      <c r="C59" s="6"/>
      <c r="D59" s="6"/>
    </row>
    <row r="60">
      <c r="A60" s="19"/>
      <c r="B60" s="19"/>
      <c r="C60" s="6"/>
      <c r="D60" s="6"/>
    </row>
    <row r="61">
      <c r="A61" s="19"/>
      <c r="B61" s="19"/>
      <c r="C61" s="4"/>
      <c r="D61" s="4"/>
    </row>
    <row r="62">
      <c r="A62" s="19"/>
      <c r="B62" s="19"/>
      <c r="C62" s="6"/>
      <c r="D62" s="6"/>
    </row>
    <row r="63">
      <c r="A63" s="19"/>
      <c r="B63" s="19"/>
      <c r="C63" s="6"/>
      <c r="D63" s="6"/>
    </row>
    <row r="64">
      <c r="A64" s="19"/>
      <c r="B64" s="19"/>
      <c r="C64" s="6"/>
      <c r="D64" s="6"/>
    </row>
    <row r="65">
      <c r="A65" s="19"/>
      <c r="B65" s="19"/>
      <c r="C65" s="6"/>
      <c r="D65" s="6"/>
    </row>
    <row r="66">
      <c r="A66" s="19"/>
      <c r="B66" s="19"/>
      <c r="C66" s="6"/>
      <c r="D66" s="6"/>
    </row>
    <row r="67">
      <c r="A67" s="19"/>
      <c r="B67" s="19"/>
      <c r="C67" s="6"/>
      <c r="D67" s="6"/>
    </row>
    <row r="68">
      <c r="A68" s="19"/>
      <c r="B68" s="19"/>
      <c r="C68" s="6"/>
      <c r="D68" s="6"/>
    </row>
    <row r="69">
      <c r="A69" s="19"/>
      <c r="B69" s="19"/>
      <c r="C69" s="6"/>
      <c r="D69" s="6"/>
    </row>
    <row r="70">
      <c r="A70" s="19"/>
      <c r="B70" s="19"/>
      <c r="C70" s="6"/>
      <c r="D70" s="6"/>
    </row>
    <row r="71">
      <c r="A71" s="19"/>
      <c r="B71" s="19"/>
      <c r="C71" s="6"/>
      <c r="D71" s="6"/>
    </row>
    <row r="72">
      <c r="A72" s="19"/>
      <c r="B72" s="19"/>
      <c r="C72" s="6"/>
      <c r="D72" s="6"/>
    </row>
    <row r="73">
      <c r="A73" s="19"/>
      <c r="B73" s="19"/>
      <c r="C73" s="6"/>
      <c r="D73" s="6"/>
    </row>
    <row r="74">
      <c r="A74" s="19"/>
      <c r="B74" s="19"/>
      <c r="C74" s="6"/>
      <c r="D74" s="6"/>
    </row>
    <row r="75">
      <c r="A75" s="19"/>
      <c r="B75" s="19"/>
      <c r="C75" s="6"/>
      <c r="D75" s="6"/>
    </row>
    <row r="76">
      <c r="A76" s="19"/>
      <c r="B76" s="19"/>
      <c r="C76" s="6"/>
      <c r="D76" s="6"/>
    </row>
    <row r="77">
      <c r="A77" s="19"/>
      <c r="B77" s="19"/>
      <c r="C77" s="6"/>
      <c r="D77" s="6"/>
    </row>
    <row r="78">
      <c r="A78" s="19"/>
      <c r="B78" s="19"/>
      <c r="C78" s="6"/>
      <c r="D78" s="6"/>
    </row>
    <row r="79">
      <c r="A79" s="19"/>
      <c r="B79" s="19"/>
      <c r="C79" s="6"/>
      <c r="D79" s="6"/>
    </row>
    <row r="80">
      <c r="A80" s="19"/>
      <c r="B80" s="19"/>
      <c r="C80" s="6"/>
      <c r="D80" s="6"/>
    </row>
    <row r="81">
      <c r="A81" s="19"/>
      <c r="B81" s="19"/>
      <c r="C81" s="4"/>
      <c r="D81" s="4"/>
    </row>
    <row r="82">
      <c r="A82" s="19"/>
      <c r="B82" s="19"/>
      <c r="C82" s="6"/>
      <c r="D82" s="6"/>
    </row>
    <row r="83">
      <c r="A83" s="19"/>
      <c r="B83" s="19"/>
      <c r="C83" s="6"/>
      <c r="D83" s="6"/>
    </row>
    <row r="84">
      <c r="A84" s="19"/>
      <c r="B84" s="19"/>
      <c r="C84" s="6"/>
      <c r="D84" s="6"/>
    </row>
    <row r="85">
      <c r="A85" s="19"/>
      <c r="B85" s="19"/>
      <c r="C85" s="6"/>
      <c r="D85" s="6"/>
    </row>
    <row r="86">
      <c r="A86" s="19"/>
      <c r="B86" s="19"/>
      <c r="C86" s="6"/>
      <c r="D86" s="6"/>
    </row>
    <row r="87">
      <c r="A87" s="19"/>
      <c r="B87" s="19"/>
      <c r="C87" s="6"/>
      <c r="D87" s="6"/>
    </row>
    <row r="88">
      <c r="A88" s="19"/>
      <c r="B88" s="19"/>
      <c r="C88" s="6"/>
      <c r="D88" s="6"/>
    </row>
    <row r="89">
      <c r="A89" s="19"/>
      <c r="B89" s="19"/>
      <c r="C89" s="6"/>
      <c r="D89" s="6"/>
    </row>
    <row r="90">
      <c r="A90" s="19"/>
      <c r="B90" s="19"/>
      <c r="C90" s="6"/>
      <c r="D90" s="6"/>
    </row>
    <row r="91">
      <c r="A91" s="19"/>
      <c r="B91" s="19"/>
      <c r="C91" s="6"/>
      <c r="D91" s="6"/>
    </row>
    <row r="92">
      <c r="A92" s="19"/>
      <c r="B92" s="19"/>
      <c r="C92" s="6"/>
      <c r="D92" s="6"/>
    </row>
    <row r="93">
      <c r="A93" s="19"/>
      <c r="B93" s="19"/>
      <c r="C93" s="6"/>
      <c r="D93" s="6"/>
    </row>
    <row r="94">
      <c r="A94" s="19"/>
      <c r="B94" s="19"/>
      <c r="C94" s="6"/>
      <c r="D94" s="6"/>
    </row>
    <row r="95">
      <c r="A95" s="19"/>
      <c r="B95" s="19"/>
      <c r="C95" s="6"/>
      <c r="D95" s="6"/>
    </row>
    <row r="96">
      <c r="A96" s="19"/>
      <c r="B96" s="19"/>
      <c r="C96" s="6"/>
      <c r="D96" s="6"/>
    </row>
    <row r="97">
      <c r="A97" s="19"/>
      <c r="B97" s="19"/>
      <c r="C97" s="6"/>
      <c r="D97" s="6"/>
    </row>
    <row r="98">
      <c r="A98" s="19"/>
      <c r="B98" s="19"/>
      <c r="C98" s="6"/>
      <c r="D98" s="6"/>
    </row>
    <row r="99">
      <c r="A99" s="19"/>
      <c r="B99" s="19"/>
      <c r="C99" s="6"/>
      <c r="D99" s="6"/>
    </row>
    <row r="100">
      <c r="A100" s="19"/>
      <c r="B100" s="19"/>
      <c r="C100" s="6"/>
      <c r="D100" s="6"/>
    </row>
    <row r="101">
      <c r="A101" s="19"/>
      <c r="B101" s="19"/>
      <c r="C101" s="4"/>
      <c r="D101" s="4"/>
    </row>
    <row r="102">
      <c r="A102" s="19"/>
      <c r="B102" s="19"/>
      <c r="C102" s="6"/>
      <c r="D102" s="6"/>
    </row>
    <row r="103">
      <c r="A103" s="19"/>
      <c r="B103" s="19"/>
      <c r="C103" s="6"/>
      <c r="D103" s="6"/>
    </row>
    <row r="104">
      <c r="A104" s="19"/>
      <c r="B104" s="19"/>
      <c r="C104" s="6"/>
      <c r="D104" s="6"/>
    </row>
    <row r="105">
      <c r="A105" s="19"/>
      <c r="B105" s="19"/>
      <c r="C105" s="6"/>
      <c r="D105" s="6"/>
    </row>
    <row r="106">
      <c r="A106" s="19"/>
      <c r="B106" s="19"/>
      <c r="C106" s="6"/>
      <c r="D106" s="6"/>
    </row>
    <row r="107">
      <c r="A107" s="19"/>
      <c r="B107" s="19"/>
      <c r="C107" s="6"/>
      <c r="D107" s="6"/>
    </row>
    <row r="108">
      <c r="A108" s="19"/>
      <c r="B108" s="19"/>
      <c r="C108" s="6"/>
      <c r="D108" s="6"/>
    </row>
    <row r="109">
      <c r="A109" s="19"/>
      <c r="B109" s="19"/>
      <c r="C109" s="6"/>
      <c r="D109" s="6"/>
    </row>
    <row r="110">
      <c r="A110" s="19"/>
      <c r="B110" s="19"/>
      <c r="C110" s="6"/>
      <c r="D110" s="6"/>
    </row>
    <row r="111">
      <c r="A111" s="19"/>
      <c r="B111" s="19"/>
      <c r="C111" s="6"/>
      <c r="D111" s="6"/>
    </row>
    <row r="112">
      <c r="A112" s="19"/>
      <c r="B112" s="19"/>
      <c r="C112" s="6"/>
      <c r="D112" s="6"/>
    </row>
    <row r="113">
      <c r="A113" s="19"/>
      <c r="B113" s="19"/>
      <c r="C113" s="6"/>
      <c r="D113" s="6"/>
    </row>
    <row r="114">
      <c r="A114" s="19"/>
      <c r="B114" s="19"/>
      <c r="C114" s="6"/>
      <c r="D114" s="6"/>
    </row>
    <row r="115">
      <c r="A115" s="19"/>
      <c r="B115" s="19"/>
      <c r="C115" s="6"/>
      <c r="D115" s="6"/>
    </row>
    <row r="116">
      <c r="A116" s="19"/>
      <c r="B116" s="19"/>
      <c r="C116" s="6"/>
      <c r="D116" s="6"/>
    </row>
    <row r="117">
      <c r="A117" s="19"/>
      <c r="B117" s="19"/>
      <c r="C117" s="6"/>
      <c r="D117" s="6"/>
    </row>
    <row r="118">
      <c r="A118" s="19"/>
      <c r="B118" s="19"/>
      <c r="C118" s="6"/>
      <c r="D118" s="6"/>
    </row>
    <row r="119">
      <c r="A119" s="19"/>
      <c r="B119" s="19"/>
      <c r="C119" s="6"/>
      <c r="D119" s="6"/>
    </row>
    <row r="120">
      <c r="A120" s="19"/>
      <c r="B120" s="19"/>
      <c r="C120" s="6"/>
      <c r="D120" s="6"/>
    </row>
    <row r="121">
      <c r="A121" s="19"/>
      <c r="B121" s="19"/>
      <c r="C121" s="4"/>
      <c r="D121" s="4"/>
    </row>
    <row r="122">
      <c r="A122" s="19"/>
      <c r="B122" s="19"/>
      <c r="C122" s="6"/>
      <c r="D122" s="6"/>
    </row>
    <row r="123">
      <c r="A123" s="19"/>
      <c r="B123" s="19"/>
      <c r="C123" s="6"/>
      <c r="D123" s="6"/>
    </row>
    <row r="124">
      <c r="A124" s="19"/>
      <c r="B124" s="19"/>
      <c r="C124" s="6"/>
      <c r="D124" s="6"/>
    </row>
    <row r="125">
      <c r="A125" s="19"/>
      <c r="B125" s="19"/>
      <c r="C125" s="6"/>
      <c r="D125" s="6"/>
    </row>
    <row r="126">
      <c r="A126" s="19"/>
      <c r="B126" s="19"/>
      <c r="C126" s="6"/>
      <c r="D126" s="6"/>
    </row>
    <row r="127">
      <c r="A127" s="19"/>
      <c r="B127" s="19"/>
      <c r="C127" s="6"/>
      <c r="D127" s="6"/>
    </row>
    <row r="128">
      <c r="A128" s="19"/>
      <c r="B128" s="19"/>
      <c r="C128" s="6"/>
      <c r="D128" s="6"/>
    </row>
    <row r="129">
      <c r="A129" s="19"/>
      <c r="B129" s="19"/>
      <c r="C129" s="6"/>
      <c r="D129" s="6"/>
    </row>
    <row r="130">
      <c r="A130" s="19"/>
      <c r="B130" s="19"/>
      <c r="C130" s="6"/>
      <c r="D130" s="6"/>
    </row>
    <row r="131">
      <c r="A131" s="19"/>
      <c r="B131" s="19"/>
      <c r="C131" s="6"/>
      <c r="D131" s="6"/>
    </row>
    <row r="132">
      <c r="A132" s="19"/>
      <c r="B132" s="19"/>
      <c r="C132" s="6"/>
      <c r="D132" s="6"/>
    </row>
    <row r="133">
      <c r="A133" s="19"/>
      <c r="B133" s="19"/>
      <c r="C133" s="6"/>
      <c r="D133" s="6"/>
    </row>
    <row r="134">
      <c r="A134" s="19"/>
      <c r="B134" s="19"/>
      <c r="C134" s="6"/>
      <c r="D134" s="6"/>
    </row>
    <row r="135">
      <c r="A135" s="19"/>
      <c r="B135" s="19"/>
      <c r="C135" s="6"/>
      <c r="D135" s="6"/>
    </row>
    <row r="136">
      <c r="A136" s="19"/>
      <c r="B136" s="19"/>
      <c r="C136" s="6"/>
      <c r="D136" s="6"/>
    </row>
    <row r="137">
      <c r="A137" s="19"/>
      <c r="B137" s="19"/>
      <c r="C137" s="6"/>
      <c r="D137" s="6"/>
    </row>
    <row r="138">
      <c r="A138" s="19"/>
      <c r="B138" s="19"/>
      <c r="C138" s="6"/>
      <c r="D138" s="6"/>
    </row>
    <row r="139">
      <c r="A139" s="19"/>
      <c r="B139" s="19"/>
      <c r="C139" s="6"/>
      <c r="D139" s="6"/>
    </row>
    <row r="140">
      <c r="A140" s="19"/>
      <c r="B140" s="19"/>
      <c r="C140" s="6"/>
      <c r="D140" s="6"/>
    </row>
    <row r="141">
      <c r="A141" s="19"/>
      <c r="B141" s="19"/>
      <c r="C141" s="4"/>
      <c r="D141" s="4"/>
    </row>
    <row r="142">
      <c r="A142" s="19"/>
      <c r="B142" s="19"/>
      <c r="C142" s="6"/>
      <c r="D142" s="6"/>
    </row>
    <row r="143">
      <c r="A143" s="19"/>
      <c r="B143" s="19"/>
      <c r="C143" s="6"/>
      <c r="D143" s="6"/>
    </row>
    <row r="144">
      <c r="A144" s="19"/>
      <c r="B144" s="19"/>
      <c r="C144" s="6"/>
      <c r="D144" s="6"/>
    </row>
    <row r="145">
      <c r="A145" s="19"/>
      <c r="B145" s="19"/>
      <c r="C145" s="6"/>
      <c r="D145" s="6"/>
    </row>
    <row r="146">
      <c r="A146" s="19"/>
      <c r="B146" s="19"/>
      <c r="C146" s="6"/>
      <c r="D146" s="6"/>
    </row>
    <row r="147">
      <c r="A147" s="19"/>
      <c r="B147" s="19"/>
      <c r="C147" s="6"/>
      <c r="D147" s="6"/>
    </row>
    <row r="148">
      <c r="A148" s="19"/>
      <c r="B148" s="19"/>
      <c r="C148" s="6"/>
      <c r="D148" s="6"/>
    </row>
    <row r="149">
      <c r="A149" s="19"/>
      <c r="B149" s="19"/>
      <c r="C149" s="6"/>
      <c r="D149" s="6"/>
    </row>
    <row r="150">
      <c r="A150" s="19"/>
      <c r="B150" s="19"/>
      <c r="C150" s="6"/>
      <c r="D150" s="6"/>
    </row>
    <row r="151">
      <c r="A151" s="19"/>
      <c r="B151" s="19"/>
      <c r="C151" s="6"/>
      <c r="D151" s="6"/>
    </row>
    <row r="152">
      <c r="A152" s="19"/>
      <c r="B152" s="19"/>
      <c r="C152" s="6"/>
      <c r="D152" s="6"/>
    </row>
    <row r="153">
      <c r="A153" s="19"/>
      <c r="B153" s="19"/>
      <c r="C153" s="6"/>
      <c r="D153" s="6"/>
    </row>
    <row r="154">
      <c r="A154" s="19"/>
      <c r="B154" s="19"/>
      <c r="C154" s="6"/>
      <c r="D154" s="6"/>
    </row>
    <row r="155">
      <c r="A155" s="19"/>
      <c r="B155" s="19"/>
      <c r="C155" s="6"/>
      <c r="D155" s="6"/>
    </row>
    <row r="156">
      <c r="A156" s="19"/>
      <c r="B156" s="19"/>
      <c r="C156" s="6"/>
      <c r="D156" s="6"/>
    </row>
    <row r="157">
      <c r="A157" s="19"/>
      <c r="B157" s="19"/>
      <c r="C157" s="6"/>
      <c r="D157" s="6"/>
    </row>
    <row r="158">
      <c r="A158" s="19"/>
      <c r="B158" s="19"/>
      <c r="C158" s="6"/>
      <c r="D158" s="6"/>
    </row>
    <row r="159">
      <c r="A159" s="19"/>
      <c r="B159" s="19"/>
      <c r="C159" s="6"/>
      <c r="D159" s="6"/>
    </row>
    <row r="160">
      <c r="A160" s="19"/>
      <c r="B160" s="19"/>
      <c r="C160" s="6"/>
      <c r="D160" s="6"/>
    </row>
    <row r="161">
      <c r="A161" s="19"/>
      <c r="B161" s="19"/>
      <c r="C161" s="4"/>
      <c r="D161" s="4"/>
    </row>
    <row r="162">
      <c r="A162" s="19"/>
      <c r="B162" s="19"/>
      <c r="C162" s="6"/>
      <c r="D162" s="6"/>
    </row>
    <row r="163">
      <c r="A163" s="19"/>
      <c r="B163" s="19"/>
      <c r="C163" s="6"/>
      <c r="D163" s="6"/>
    </row>
    <row r="164">
      <c r="A164" s="19"/>
      <c r="B164" s="19"/>
      <c r="C164" s="6"/>
      <c r="D164" s="6"/>
    </row>
    <row r="165">
      <c r="A165" s="19"/>
      <c r="B165" s="19"/>
      <c r="C165" s="6"/>
      <c r="D165" s="6"/>
    </row>
    <row r="166">
      <c r="A166" s="19"/>
      <c r="B166" s="19"/>
      <c r="C166" s="6"/>
      <c r="D166" s="6"/>
    </row>
    <row r="167">
      <c r="A167" s="19"/>
      <c r="B167" s="19"/>
      <c r="C167" s="6"/>
      <c r="D167" s="6"/>
    </row>
    <row r="168">
      <c r="A168" s="19"/>
      <c r="B168" s="19"/>
      <c r="C168" s="6"/>
      <c r="D168" s="6"/>
    </row>
    <row r="169">
      <c r="A169" s="19"/>
      <c r="B169" s="19"/>
      <c r="C169" s="6"/>
      <c r="D169" s="6"/>
    </row>
    <row r="170">
      <c r="A170" s="19"/>
      <c r="B170" s="19"/>
      <c r="C170" s="6"/>
      <c r="D170" s="6"/>
    </row>
    <row r="171">
      <c r="A171" s="19"/>
      <c r="B171" s="19"/>
      <c r="C171" s="6"/>
      <c r="D171" s="6"/>
    </row>
    <row r="172">
      <c r="A172" s="19"/>
      <c r="B172" s="19"/>
      <c r="C172" s="6"/>
      <c r="D172" s="6"/>
    </row>
    <row r="173">
      <c r="A173" s="19"/>
      <c r="B173" s="19"/>
      <c r="C173" s="6"/>
      <c r="D173" s="6"/>
    </row>
    <row r="174">
      <c r="A174" s="19"/>
      <c r="B174" s="19"/>
      <c r="C174" s="6"/>
      <c r="D174" s="6"/>
    </row>
    <row r="175">
      <c r="A175" s="19"/>
      <c r="B175" s="19"/>
      <c r="C175" s="6"/>
      <c r="D175" s="6"/>
    </row>
    <row r="176">
      <c r="A176" s="19"/>
      <c r="B176" s="19"/>
      <c r="C176" s="6"/>
      <c r="D176" s="6"/>
    </row>
    <row r="177">
      <c r="A177" s="19"/>
      <c r="B177" s="19"/>
      <c r="C177" s="6"/>
      <c r="D177" s="6"/>
    </row>
    <row r="178">
      <c r="A178" s="19"/>
      <c r="B178" s="19"/>
      <c r="C178" s="6"/>
      <c r="D178" s="6"/>
    </row>
    <row r="179">
      <c r="A179" s="19"/>
      <c r="B179" s="19"/>
      <c r="C179" s="6"/>
      <c r="D179" s="6"/>
    </row>
    <row r="180">
      <c r="A180" s="19"/>
      <c r="B180" s="19"/>
      <c r="C180" s="6"/>
      <c r="D180" s="6"/>
    </row>
    <row r="181">
      <c r="A181" s="19"/>
      <c r="B181" s="19"/>
      <c r="C181" s="4"/>
      <c r="D181" s="4"/>
    </row>
    <row r="182">
      <c r="A182" s="19"/>
      <c r="B182" s="19"/>
      <c r="C182" s="6"/>
      <c r="D182" s="6"/>
    </row>
    <row r="183">
      <c r="A183" s="19"/>
      <c r="B183" s="19"/>
      <c r="C183" s="6"/>
      <c r="D183" s="6"/>
    </row>
    <row r="184">
      <c r="A184" s="19"/>
      <c r="B184" s="19"/>
      <c r="C184" s="6"/>
      <c r="D184" s="6"/>
    </row>
    <row r="185">
      <c r="A185" s="19"/>
      <c r="B185" s="19"/>
      <c r="C185" s="6"/>
      <c r="D185" s="6"/>
    </row>
    <row r="186">
      <c r="A186" s="19"/>
      <c r="B186" s="19"/>
      <c r="C186" s="6"/>
      <c r="D186" s="6"/>
    </row>
    <row r="187">
      <c r="A187" s="19"/>
      <c r="B187" s="19"/>
      <c r="C187" s="6"/>
      <c r="D187" s="6"/>
    </row>
    <row r="188">
      <c r="A188" s="19"/>
      <c r="B188" s="19"/>
      <c r="C188" s="6"/>
      <c r="D188" s="6"/>
    </row>
    <row r="189">
      <c r="A189" s="19"/>
      <c r="B189" s="19"/>
      <c r="C189" s="6"/>
      <c r="D189" s="6"/>
    </row>
    <row r="190">
      <c r="A190" s="19"/>
      <c r="B190" s="19"/>
      <c r="C190" s="6"/>
      <c r="D190" s="6"/>
    </row>
    <row r="191">
      <c r="A191" s="19"/>
      <c r="B191" s="19"/>
      <c r="C191" s="6"/>
      <c r="D191" s="6"/>
    </row>
    <row r="192">
      <c r="A192" s="19"/>
      <c r="B192" s="19"/>
      <c r="C192" s="6"/>
      <c r="D192" s="6"/>
    </row>
    <row r="193">
      <c r="A193" s="19"/>
      <c r="B193" s="19"/>
      <c r="C193" s="6"/>
      <c r="D193" s="6"/>
    </row>
    <row r="194">
      <c r="A194" s="19"/>
      <c r="B194" s="19"/>
      <c r="C194" s="6"/>
      <c r="D194" s="6"/>
    </row>
    <row r="195">
      <c r="A195" s="19"/>
      <c r="B195" s="19"/>
      <c r="C195" s="6"/>
      <c r="D195" s="6"/>
    </row>
    <row r="196">
      <c r="A196" s="19"/>
      <c r="B196" s="19"/>
      <c r="C196" s="6"/>
      <c r="D196" s="6"/>
    </row>
    <row r="197">
      <c r="A197" s="19"/>
      <c r="B197" s="19"/>
      <c r="C197" s="6"/>
      <c r="D197" s="6"/>
    </row>
    <row r="198">
      <c r="A198" s="19"/>
      <c r="B198" s="19"/>
      <c r="C198" s="6"/>
      <c r="D198" s="6"/>
    </row>
    <row r="199">
      <c r="A199" s="19"/>
      <c r="B199" s="19"/>
      <c r="C199" s="6"/>
      <c r="D199" s="6"/>
    </row>
    <row r="200">
      <c r="A200" s="19"/>
      <c r="B200" s="19"/>
      <c r="C200" s="6"/>
      <c r="D200" s="6"/>
    </row>
    <row r="201">
      <c r="A201" s="19"/>
      <c r="B201" s="19"/>
      <c r="C201" s="4"/>
      <c r="D201" s="4"/>
    </row>
    <row r="202">
      <c r="A202" s="19"/>
      <c r="B202" s="19"/>
      <c r="C202" s="6"/>
      <c r="D202" s="6"/>
    </row>
    <row r="203">
      <c r="A203" s="19"/>
      <c r="B203" s="19"/>
      <c r="C203" s="6"/>
      <c r="D203" s="6"/>
    </row>
    <row r="204">
      <c r="A204" s="19"/>
      <c r="B204" s="19"/>
      <c r="C204" s="6"/>
      <c r="D204" s="6"/>
    </row>
    <row r="205">
      <c r="A205" s="19"/>
      <c r="B205" s="19"/>
      <c r="C205" s="6"/>
      <c r="D205" s="6"/>
    </row>
    <row r="206">
      <c r="A206" s="19"/>
      <c r="B206" s="19"/>
      <c r="C206" s="6"/>
      <c r="D206" s="6"/>
    </row>
    <row r="207">
      <c r="A207" s="19"/>
      <c r="B207" s="19"/>
      <c r="C207" s="6"/>
      <c r="D207" s="6"/>
    </row>
    <row r="208">
      <c r="A208" s="19"/>
      <c r="B208" s="19"/>
      <c r="C208" s="6"/>
      <c r="D208" s="6"/>
    </row>
    <row r="209">
      <c r="A209" s="19"/>
      <c r="B209" s="19"/>
      <c r="C209" s="6"/>
      <c r="D209" s="6"/>
    </row>
    <row r="210">
      <c r="A210" s="19"/>
      <c r="B210" s="19"/>
      <c r="C210" s="6"/>
      <c r="D210" s="6"/>
    </row>
    <row r="211">
      <c r="A211" s="19"/>
      <c r="B211" s="19"/>
      <c r="C211" s="6"/>
      <c r="D211" s="6"/>
    </row>
    <row r="212">
      <c r="A212" s="19"/>
      <c r="B212" s="19"/>
      <c r="C212" s="6"/>
      <c r="D212" s="6"/>
    </row>
    <row r="213">
      <c r="A213" s="19"/>
      <c r="B213" s="19"/>
      <c r="C213" s="6"/>
      <c r="D213" s="6"/>
    </row>
    <row r="214">
      <c r="A214" s="19"/>
      <c r="B214" s="19"/>
      <c r="C214" s="6"/>
      <c r="D214" s="6"/>
    </row>
    <row r="215">
      <c r="A215" s="19"/>
      <c r="B215" s="19"/>
      <c r="C215" s="6"/>
      <c r="D215" s="6"/>
    </row>
    <row r="216">
      <c r="A216" s="19"/>
      <c r="B216" s="19"/>
      <c r="C216" s="6"/>
      <c r="D216" s="6"/>
    </row>
    <row r="217">
      <c r="A217" s="19"/>
      <c r="B217" s="19"/>
      <c r="C217" s="6"/>
      <c r="D217" s="6"/>
    </row>
    <row r="218">
      <c r="A218" s="19"/>
      <c r="B218" s="19"/>
      <c r="C218" s="6"/>
      <c r="D218" s="6"/>
    </row>
    <row r="219">
      <c r="A219" s="19"/>
      <c r="B219" s="19"/>
      <c r="C219" s="6"/>
      <c r="D219" s="6"/>
    </row>
    <row r="220">
      <c r="A220" s="19"/>
      <c r="B220" s="19"/>
      <c r="C220" s="6"/>
      <c r="D220" s="6"/>
    </row>
    <row r="221">
      <c r="A221" s="19"/>
      <c r="B221" s="19"/>
      <c r="C221" s="4"/>
      <c r="D221" s="4"/>
    </row>
    <row r="222">
      <c r="A222" s="19"/>
      <c r="B222" s="19"/>
      <c r="C222" s="6"/>
      <c r="D222" s="6"/>
    </row>
    <row r="223">
      <c r="A223" s="19"/>
      <c r="B223" s="19"/>
      <c r="C223" s="6"/>
      <c r="D223" s="6"/>
    </row>
    <row r="224">
      <c r="A224" s="19"/>
      <c r="B224" s="19"/>
      <c r="C224" s="6"/>
      <c r="D224" s="6"/>
    </row>
    <row r="225">
      <c r="A225" s="19"/>
      <c r="B225" s="19"/>
      <c r="C225" s="6"/>
      <c r="D225" s="6"/>
    </row>
    <row r="226">
      <c r="A226" s="19"/>
      <c r="B226" s="19"/>
      <c r="C226" s="6"/>
      <c r="D226" s="6"/>
    </row>
    <row r="227">
      <c r="A227" s="19"/>
      <c r="B227" s="19"/>
      <c r="C227" s="6"/>
      <c r="D227" s="6"/>
    </row>
    <row r="228">
      <c r="A228" s="19"/>
      <c r="B228" s="19"/>
      <c r="C228" s="6"/>
      <c r="D228" s="6"/>
    </row>
    <row r="229">
      <c r="A229" s="19"/>
      <c r="B229" s="19"/>
      <c r="C229" s="6"/>
      <c r="D229" s="6"/>
    </row>
    <row r="230">
      <c r="A230" s="19"/>
      <c r="B230" s="19"/>
      <c r="C230" s="6"/>
      <c r="D230" s="6"/>
    </row>
    <row r="231">
      <c r="A231" s="19"/>
      <c r="B231" s="19"/>
      <c r="C231" s="6"/>
      <c r="D231" s="6"/>
    </row>
    <row r="232">
      <c r="A232" s="19"/>
      <c r="B232" s="19"/>
      <c r="C232" s="6"/>
      <c r="D232" s="6"/>
    </row>
    <row r="233">
      <c r="A233" s="19"/>
      <c r="B233" s="19"/>
      <c r="C233" s="6"/>
      <c r="D233" s="6"/>
    </row>
    <row r="234">
      <c r="A234" s="19"/>
      <c r="B234" s="19"/>
      <c r="C234" s="6"/>
      <c r="D234" s="6"/>
    </row>
    <row r="235">
      <c r="A235" s="19"/>
      <c r="B235" s="19"/>
      <c r="C235" s="6"/>
      <c r="D235" s="6"/>
    </row>
    <row r="236">
      <c r="A236" s="19"/>
      <c r="B236" s="19"/>
      <c r="C236" s="6"/>
      <c r="D236" s="6"/>
    </row>
    <row r="237">
      <c r="A237" s="19"/>
      <c r="B237" s="19"/>
      <c r="C237" s="6"/>
      <c r="D237" s="6"/>
    </row>
    <row r="238">
      <c r="A238" s="19"/>
      <c r="B238" s="19"/>
      <c r="C238" s="6"/>
      <c r="D238" s="6"/>
    </row>
    <row r="239">
      <c r="A239" s="19"/>
      <c r="B239" s="19"/>
      <c r="C239" s="6"/>
      <c r="D239" s="6"/>
    </row>
    <row r="240">
      <c r="A240" s="19"/>
      <c r="B240" s="19"/>
      <c r="C240" s="6"/>
      <c r="D240" s="6"/>
    </row>
    <row r="241">
      <c r="A241" s="19"/>
      <c r="B241" s="19"/>
      <c r="C241" s="4"/>
      <c r="D241" s="4"/>
    </row>
    <row r="242">
      <c r="A242" s="19"/>
      <c r="B242" s="19"/>
      <c r="C242" s="6"/>
      <c r="D242" s="6"/>
    </row>
    <row r="243">
      <c r="A243" s="19"/>
      <c r="B243" s="19"/>
      <c r="C243" s="6"/>
      <c r="D243" s="6"/>
    </row>
    <row r="244">
      <c r="A244" s="19"/>
      <c r="B244" s="19"/>
      <c r="C244" s="6"/>
      <c r="D244" s="6"/>
    </row>
    <row r="245">
      <c r="A245" s="19"/>
      <c r="B245" s="19"/>
      <c r="C245" s="6"/>
      <c r="D245" s="6"/>
    </row>
    <row r="246">
      <c r="A246" s="19"/>
      <c r="B246" s="19"/>
      <c r="C246" s="6"/>
      <c r="D246" s="6"/>
    </row>
    <row r="247">
      <c r="A247" s="19"/>
      <c r="B247" s="19"/>
      <c r="C247" s="6"/>
      <c r="D247" s="6"/>
    </row>
    <row r="248">
      <c r="A248" s="19"/>
      <c r="B248" s="19"/>
      <c r="C248" s="6"/>
      <c r="D248" s="6"/>
    </row>
    <row r="249">
      <c r="A249" s="19"/>
      <c r="B249" s="19"/>
      <c r="C249" s="6"/>
      <c r="D249" s="6"/>
    </row>
    <row r="250">
      <c r="A250" s="19"/>
      <c r="B250" s="19"/>
      <c r="C250" s="6"/>
      <c r="D250" s="6"/>
    </row>
    <row r="251">
      <c r="A251" s="19"/>
      <c r="B251" s="19"/>
      <c r="C251" s="6"/>
      <c r="D251" s="6"/>
    </row>
    <row r="252">
      <c r="A252" s="19"/>
      <c r="B252" s="19"/>
      <c r="C252" s="6"/>
      <c r="D252" s="6"/>
    </row>
    <row r="253">
      <c r="A253" s="19"/>
      <c r="B253" s="19"/>
      <c r="C253" s="6"/>
      <c r="D253" s="6"/>
    </row>
    <row r="254">
      <c r="A254" s="19"/>
      <c r="B254" s="19"/>
      <c r="C254" s="6"/>
      <c r="D254" s="6"/>
    </row>
    <row r="255">
      <c r="A255" s="19"/>
      <c r="B255" s="19"/>
      <c r="C255" s="6"/>
      <c r="D255" s="6"/>
    </row>
    <row r="256">
      <c r="A256" s="19"/>
      <c r="B256" s="19"/>
      <c r="C256" s="6"/>
      <c r="D256" s="6"/>
    </row>
    <row r="257">
      <c r="A257" s="19"/>
      <c r="B257" s="19"/>
      <c r="C257" s="6"/>
      <c r="D257" s="6"/>
    </row>
    <row r="258">
      <c r="A258" s="19"/>
      <c r="B258" s="19"/>
      <c r="C258" s="6"/>
      <c r="D258" s="6"/>
    </row>
    <row r="259">
      <c r="A259" s="19"/>
      <c r="B259" s="19"/>
      <c r="C259" s="6"/>
      <c r="D259" s="6"/>
    </row>
    <row r="260">
      <c r="A260" s="19"/>
      <c r="B260" s="19"/>
      <c r="C260" s="6"/>
      <c r="D260" s="6"/>
    </row>
    <row r="261">
      <c r="A261" s="19"/>
      <c r="B261" s="19"/>
      <c r="C261" s="4"/>
      <c r="D261" s="4"/>
    </row>
    <row r="262">
      <c r="A262" s="19"/>
      <c r="B262" s="19"/>
      <c r="C262" s="6"/>
      <c r="D262" s="6"/>
    </row>
    <row r="263">
      <c r="A263" s="19"/>
      <c r="B263" s="19"/>
      <c r="C263" s="6"/>
      <c r="D263" s="6"/>
    </row>
    <row r="264">
      <c r="A264" s="19"/>
      <c r="B264" s="19"/>
      <c r="C264" s="6"/>
      <c r="D264" s="6"/>
    </row>
    <row r="265">
      <c r="A265" s="19"/>
      <c r="B265" s="19"/>
      <c r="C265" s="6"/>
      <c r="D265" s="6"/>
    </row>
    <row r="266">
      <c r="A266" s="19"/>
      <c r="B266" s="19"/>
      <c r="C266" s="6"/>
      <c r="D266" s="6"/>
    </row>
    <row r="267">
      <c r="A267" s="19"/>
      <c r="B267" s="19"/>
      <c r="C267" s="6"/>
      <c r="D267" s="6"/>
    </row>
    <row r="268">
      <c r="A268" s="19"/>
      <c r="B268" s="19"/>
      <c r="C268" s="6"/>
      <c r="D268" s="6"/>
    </row>
    <row r="269">
      <c r="A269" s="19"/>
      <c r="B269" s="19"/>
      <c r="C269" s="6"/>
      <c r="D269" s="6"/>
    </row>
    <row r="270">
      <c r="A270" s="19"/>
      <c r="B270" s="19"/>
      <c r="C270" s="6"/>
      <c r="D270" s="6"/>
    </row>
    <row r="271">
      <c r="A271" s="19"/>
      <c r="B271" s="19"/>
      <c r="C271" s="6"/>
      <c r="D271" s="6"/>
    </row>
    <row r="272">
      <c r="A272" s="19"/>
      <c r="B272" s="19"/>
      <c r="C272" s="6"/>
      <c r="D272" s="6"/>
    </row>
    <row r="273">
      <c r="A273" s="19"/>
      <c r="B273" s="19"/>
      <c r="C273" s="6"/>
      <c r="D273" s="6"/>
    </row>
    <row r="274">
      <c r="A274" s="19"/>
      <c r="B274" s="19"/>
      <c r="C274" s="6"/>
      <c r="D274" s="6"/>
    </row>
    <row r="275">
      <c r="A275" s="19"/>
      <c r="B275" s="19"/>
      <c r="C275" s="6"/>
      <c r="D275" s="6"/>
    </row>
    <row r="276">
      <c r="A276" s="19"/>
      <c r="B276" s="19"/>
      <c r="C276" s="6"/>
      <c r="D276" s="6"/>
    </row>
    <row r="277">
      <c r="A277" s="19"/>
      <c r="B277" s="19"/>
      <c r="C277" s="6"/>
      <c r="D277" s="6"/>
    </row>
    <row r="278">
      <c r="A278" s="19"/>
      <c r="B278" s="19"/>
      <c r="C278" s="6"/>
      <c r="D278" s="6"/>
    </row>
    <row r="279">
      <c r="A279" s="19"/>
      <c r="B279" s="19"/>
      <c r="C279" s="6"/>
      <c r="D279" s="6"/>
    </row>
    <row r="280">
      <c r="A280" s="19"/>
      <c r="B280" s="19"/>
      <c r="C280" s="6"/>
      <c r="D280" s="6"/>
    </row>
    <row r="281">
      <c r="A281" s="19"/>
      <c r="B281" s="19"/>
      <c r="C281" s="4"/>
      <c r="D281" s="4"/>
    </row>
    <row r="282">
      <c r="A282" s="19"/>
      <c r="B282" s="19"/>
      <c r="C282" s="6"/>
      <c r="D282" s="6"/>
    </row>
    <row r="283">
      <c r="A283" s="19"/>
      <c r="B283" s="19"/>
      <c r="C283" s="6"/>
      <c r="D283" s="6"/>
    </row>
    <row r="284">
      <c r="A284" s="19"/>
      <c r="B284" s="19"/>
      <c r="C284" s="6"/>
      <c r="D284" s="6"/>
    </row>
    <row r="285">
      <c r="A285" s="19"/>
      <c r="B285" s="19"/>
      <c r="C285" s="6"/>
      <c r="D285" s="6"/>
    </row>
    <row r="286">
      <c r="A286" s="19"/>
      <c r="B286" s="19"/>
      <c r="C286" s="6"/>
      <c r="D286" s="6"/>
    </row>
    <row r="287">
      <c r="A287" s="19"/>
      <c r="B287" s="19"/>
      <c r="C287" s="6"/>
      <c r="D287" s="6"/>
    </row>
    <row r="288">
      <c r="A288" s="19"/>
      <c r="B288" s="19"/>
      <c r="C288" s="6"/>
      <c r="D288" s="6"/>
    </row>
    <row r="289">
      <c r="A289" s="19"/>
      <c r="B289" s="19"/>
      <c r="C289" s="6"/>
      <c r="D289" s="6"/>
    </row>
    <row r="290">
      <c r="A290" s="19"/>
      <c r="B290" s="19"/>
      <c r="C290" s="6"/>
      <c r="D290" s="6"/>
    </row>
    <row r="291">
      <c r="A291" s="19"/>
      <c r="B291" s="19"/>
      <c r="C291" s="6"/>
      <c r="D291" s="6"/>
    </row>
    <row r="292">
      <c r="A292" s="19"/>
      <c r="B292" s="19"/>
      <c r="C292" s="6"/>
      <c r="D292" s="6"/>
    </row>
    <row r="293">
      <c r="A293" s="19"/>
      <c r="B293" s="19"/>
      <c r="C293" s="6"/>
      <c r="D293" s="6"/>
    </row>
    <row r="294">
      <c r="A294" s="19"/>
      <c r="B294" s="19"/>
      <c r="C294" s="6"/>
      <c r="D294" s="6"/>
    </row>
    <row r="295">
      <c r="A295" s="19"/>
      <c r="B295" s="19"/>
      <c r="C295" s="6"/>
      <c r="D295" s="6"/>
    </row>
    <row r="296">
      <c r="A296" s="19"/>
      <c r="B296" s="19"/>
      <c r="C296" s="6"/>
      <c r="D296" s="6"/>
    </row>
    <row r="297">
      <c r="A297" s="19"/>
      <c r="B297" s="19"/>
      <c r="C297" s="6"/>
      <c r="D297" s="6"/>
    </row>
    <row r="298">
      <c r="A298" s="19"/>
      <c r="B298" s="19"/>
      <c r="C298" s="6"/>
      <c r="D298" s="6"/>
    </row>
    <row r="299">
      <c r="A299" s="19"/>
      <c r="B299" s="19"/>
      <c r="C299" s="6"/>
      <c r="D299" s="6"/>
    </row>
    <row r="300">
      <c r="A300" s="19"/>
      <c r="B300" s="19"/>
      <c r="C300" s="6"/>
      <c r="D300" s="6"/>
    </row>
    <row r="301">
      <c r="A301" s="19"/>
      <c r="B301" s="19"/>
      <c r="C301" s="4"/>
      <c r="D301" s="4"/>
    </row>
    <row r="302">
      <c r="A302" s="19"/>
      <c r="B302" s="19"/>
      <c r="C302" s="6"/>
      <c r="D302" s="6"/>
    </row>
    <row r="303">
      <c r="A303" s="19"/>
      <c r="B303" s="19"/>
      <c r="C303" s="6"/>
      <c r="D303" s="6"/>
    </row>
    <row r="304">
      <c r="A304" s="19"/>
      <c r="B304" s="19"/>
      <c r="C304" s="6"/>
      <c r="D304" s="6"/>
    </row>
    <row r="305">
      <c r="A305" s="19"/>
      <c r="B305" s="19"/>
      <c r="C305" s="6"/>
      <c r="D305" s="6"/>
    </row>
    <row r="306">
      <c r="A306" s="19"/>
      <c r="B306" s="19"/>
      <c r="C306" s="6"/>
      <c r="D306" s="6"/>
    </row>
    <row r="307">
      <c r="A307" s="19"/>
      <c r="B307" s="19"/>
      <c r="C307" s="6"/>
      <c r="D307" s="6"/>
    </row>
    <row r="308">
      <c r="A308" s="19"/>
      <c r="B308" s="19"/>
      <c r="C308" s="6"/>
      <c r="D308" s="6"/>
    </row>
    <row r="309">
      <c r="A309" s="19"/>
      <c r="B309" s="19"/>
      <c r="C309" s="6"/>
      <c r="D309" s="6"/>
    </row>
    <row r="310">
      <c r="A310" s="19"/>
      <c r="B310" s="19"/>
      <c r="C310" s="6"/>
      <c r="D310" s="6"/>
    </row>
    <row r="311">
      <c r="A311" s="19"/>
      <c r="B311" s="19"/>
      <c r="C311" s="6"/>
      <c r="D311" s="6"/>
    </row>
    <row r="312">
      <c r="A312" s="19"/>
      <c r="B312" s="19"/>
      <c r="C312" s="6"/>
      <c r="D312" s="6"/>
    </row>
    <row r="313">
      <c r="A313" s="19"/>
      <c r="B313" s="19"/>
      <c r="C313" s="6"/>
      <c r="D313" s="6"/>
    </row>
    <row r="314">
      <c r="A314" s="19"/>
      <c r="B314" s="19"/>
      <c r="C314" s="6"/>
      <c r="D314" s="6"/>
    </row>
    <row r="315">
      <c r="A315" s="19"/>
      <c r="B315" s="19"/>
      <c r="C315" s="6"/>
      <c r="D315" s="6"/>
    </row>
    <row r="316">
      <c r="A316" s="19"/>
      <c r="B316" s="19"/>
      <c r="C316" s="6"/>
      <c r="D316" s="6"/>
    </row>
    <row r="317">
      <c r="A317" s="19"/>
      <c r="B317" s="19"/>
      <c r="C317" s="6"/>
      <c r="D317" s="6"/>
    </row>
    <row r="318">
      <c r="A318" s="19"/>
      <c r="B318" s="19"/>
      <c r="C318" s="6"/>
      <c r="D318" s="6"/>
    </row>
    <row r="319">
      <c r="A319" s="19"/>
      <c r="B319" s="19"/>
      <c r="C319" s="6"/>
      <c r="D319" s="6"/>
    </row>
    <row r="320">
      <c r="A320" s="19"/>
      <c r="B320" s="19"/>
      <c r="C320" s="6"/>
      <c r="D320" s="6"/>
    </row>
    <row r="321">
      <c r="A321" s="19"/>
      <c r="B321" s="19"/>
      <c r="C321" s="4"/>
      <c r="D321" s="4"/>
    </row>
    <row r="322">
      <c r="A322" s="19"/>
      <c r="B322" s="19"/>
      <c r="C322" s="6"/>
      <c r="D322" s="6"/>
    </row>
    <row r="323">
      <c r="A323" s="19"/>
      <c r="B323" s="19"/>
      <c r="C323" s="6"/>
      <c r="D323" s="6"/>
    </row>
    <row r="324">
      <c r="A324" s="19"/>
      <c r="B324" s="19"/>
      <c r="C324" s="6"/>
      <c r="D324" s="6"/>
    </row>
    <row r="325">
      <c r="A325" s="19"/>
      <c r="B325" s="19"/>
      <c r="C325" s="6"/>
      <c r="D325" s="6"/>
    </row>
    <row r="326">
      <c r="A326" s="19"/>
      <c r="B326" s="19"/>
      <c r="C326" s="6"/>
      <c r="D326" s="6"/>
    </row>
    <row r="327">
      <c r="A327" s="19"/>
      <c r="B327" s="19"/>
      <c r="C327" s="6"/>
      <c r="D327" s="6"/>
    </row>
    <row r="328">
      <c r="A328" s="19"/>
      <c r="B328" s="19"/>
      <c r="C328" s="6"/>
      <c r="D328" s="6"/>
    </row>
    <row r="329">
      <c r="A329" s="19"/>
      <c r="B329" s="19"/>
      <c r="C329" s="6"/>
      <c r="D329" s="6"/>
    </row>
    <row r="330">
      <c r="A330" s="19"/>
      <c r="B330" s="19"/>
      <c r="C330" s="6"/>
      <c r="D330" s="6"/>
    </row>
    <row r="331">
      <c r="A331" s="19"/>
      <c r="B331" s="19"/>
      <c r="C331" s="6"/>
      <c r="D331" s="6"/>
    </row>
    <row r="332">
      <c r="A332" s="19"/>
      <c r="B332" s="19"/>
      <c r="C332" s="6"/>
      <c r="D332" s="6"/>
    </row>
    <row r="333">
      <c r="A333" s="19"/>
      <c r="B333" s="19"/>
      <c r="C333" s="6"/>
      <c r="D333" s="6"/>
    </row>
    <row r="334">
      <c r="A334" s="19"/>
      <c r="B334" s="19"/>
      <c r="C334" s="6"/>
      <c r="D334" s="6"/>
    </row>
    <row r="335">
      <c r="A335" s="19"/>
      <c r="B335" s="19"/>
      <c r="C335" s="6"/>
      <c r="D335" s="6"/>
    </row>
    <row r="336">
      <c r="A336" s="19"/>
      <c r="B336" s="19"/>
      <c r="C336" s="6"/>
      <c r="D336" s="6"/>
    </row>
    <row r="337">
      <c r="A337" s="19"/>
      <c r="B337" s="19"/>
      <c r="C337" s="6"/>
      <c r="D337" s="6"/>
    </row>
    <row r="338">
      <c r="A338" s="19"/>
      <c r="B338" s="19"/>
      <c r="C338" s="6"/>
      <c r="D338" s="6"/>
    </row>
    <row r="339">
      <c r="A339" s="19"/>
      <c r="B339" s="19"/>
      <c r="C339" s="6"/>
      <c r="D339" s="6"/>
    </row>
    <row r="340">
      <c r="A340" s="19"/>
      <c r="B340" s="19"/>
      <c r="C340" s="6"/>
      <c r="D340" s="6"/>
    </row>
    <row r="341">
      <c r="A341" s="19"/>
      <c r="B341" s="19"/>
      <c r="C341" s="4"/>
      <c r="D341" s="4"/>
    </row>
    <row r="342">
      <c r="A342" s="19"/>
      <c r="B342" s="19"/>
      <c r="C342" s="6"/>
      <c r="D342" s="6"/>
    </row>
    <row r="343">
      <c r="A343" s="19"/>
      <c r="B343" s="19"/>
      <c r="C343" s="6"/>
      <c r="D343" s="6"/>
    </row>
    <row r="344">
      <c r="A344" s="19"/>
      <c r="B344" s="19"/>
      <c r="C344" s="6"/>
      <c r="D344" s="6"/>
    </row>
    <row r="345">
      <c r="A345" s="19"/>
      <c r="B345" s="19"/>
      <c r="C345" s="6"/>
      <c r="D345" s="6"/>
    </row>
    <row r="346">
      <c r="A346" s="19"/>
      <c r="B346" s="19"/>
      <c r="C346" s="6"/>
      <c r="D346" s="6"/>
    </row>
    <row r="347">
      <c r="A347" s="19"/>
      <c r="B347" s="19"/>
      <c r="C347" s="6"/>
      <c r="D347" s="6"/>
    </row>
    <row r="348">
      <c r="A348" s="19"/>
      <c r="B348" s="19"/>
      <c r="C348" s="6"/>
      <c r="D348" s="6"/>
    </row>
    <row r="349">
      <c r="A349" s="19"/>
      <c r="B349" s="19"/>
      <c r="C349" s="6"/>
      <c r="D349" s="6"/>
    </row>
    <row r="350">
      <c r="A350" s="19"/>
      <c r="B350" s="19"/>
      <c r="C350" s="6"/>
      <c r="D350" s="6"/>
    </row>
    <row r="351">
      <c r="A351" s="19"/>
      <c r="B351" s="19"/>
      <c r="C351" s="6"/>
      <c r="D351" s="6"/>
    </row>
    <row r="352">
      <c r="A352" s="19"/>
      <c r="B352" s="19"/>
      <c r="C352" s="6"/>
      <c r="D352" s="6"/>
    </row>
    <row r="353">
      <c r="A353" s="19"/>
      <c r="B353" s="19"/>
      <c r="C353" s="6"/>
      <c r="D353" s="6"/>
    </row>
    <row r="354">
      <c r="A354" s="19"/>
      <c r="B354" s="19"/>
      <c r="C354" s="6"/>
      <c r="D354" s="6"/>
    </row>
    <row r="355">
      <c r="A355" s="19"/>
      <c r="B355" s="19"/>
      <c r="C355" s="6"/>
      <c r="D355" s="6"/>
    </row>
    <row r="356">
      <c r="A356" s="19"/>
      <c r="B356" s="19"/>
      <c r="C356" s="6"/>
      <c r="D356" s="6"/>
    </row>
    <row r="357">
      <c r="A357" s="19"/>
      <c r="B357" s="19"/>
      <c r="C357" s="6"/>
      <c r="D357" s="6"/>
    </row>
    <row r="358">
      <c r="A358" s="19"/>
      <c r="B358" s="19"/>
      <c r="C358" s="6"/>
      <c r="D358" s="6"/>
    </row>
    <row r="359">
      <c r="A359" s="19"/>
      <c r="B359" s="19"/>
      <c r="C359" s="6"/>
      <c r="D359" s="6"/>
    </row>
    <row r="360">
      <c r="A360" s="19"/>
      <c r="B360" s="19"/>
      <c r="C360" s="6"/>
      <c r="D360" s="6"/>
    </row>
    <row r="361">
      <c r="A361" s="19"/>
      <c r="B361" s="19"/>
      <c r="C361" s="4"/>
      <c r="D361" s="4"/>
    </row>
    <row r="362">
      <c r="A362" s="19"/>
      <c r="B362" s="19"/>
      <c r="C362" s="6"/>
      <c r="D362" s="6"/>
    </row>
    <row r="363">
      <c r="A363" s="19"/>
      <c r="B363" s="19"/>
      <c r="C363" s="6"/>
      <c r="D363" s="6"/>
    </row>
    <row r="364">
      <c r="A364" s="19"/>
      <c r="B364" s="19"/>
      <c r="C364" s="6"/>
      <c r="D364" s="6"/>
    </row>
    <row r="365">
      <c r="A365" s="19"/>
      <c r="B365" s="19"/>
      <c r="C365" s="6"/>
      <c r="D365" s="6"/>
    </row>
    <row r="366">
      <c r="A366" s="19"/>
      <c r="B366" s="19"/>
      <c r="C366" s="6"/>
      <c r="D366" s="6"/>
    </row>
    <row r="367">
      <c r="A367" s="19"/>
      <c r="B367" s="19"/>
      <c r="C367" s="6"/>
      <c r="D367" s="6"/>
    </row>
    <row r="368">
      <c r="A368" s="19"/>
      <c r="B368" s="19"/>
      <c r="C368" s="6"/>
      <c r="D368" s="6"/>
    </row>
    <row r="369">
      <c r="A369" s="19"/>
      <c r="B369" s="19"/>
      <c r="C369" s="6"/>
      <c r="D369" s="6"/>
    </row>
    <row r="370">
      <c r="A370" s="19"/>
      <c r="B370" s="19"/>
      <c r="C370" s="6"/>
      <c r="D370" s="6"/>
    </row>
    <row r="371">
      <c r="A371" s="19"/>
      <c r="B371" s="19"/>
      <c r="C371" s="6"/>
      <c r="D371" s="6"/>
    </row>
    <row r="372">
      <c r="A372" s="19"/>
      <c r="B372" s="19"/>
      <c r="C372" s="6"/>
      <c r="D372" s="6"/>
    </row>
    <row r="373">
      <c r="A373" s="19"/>
      <c r="B373" s="19"/>
      <c r="C373" s="6"/>
      <c r="D373" s="6"/>
    </row>
    <row r="374">
      <c r="A374" s="19"/>
      <c r="B374" s="19"/>
      <c r="C374" s="6"/>
      <c r="D374" s="6"/>
    </row>
    <row r="375">
      <c r="A375" s="19"/>
      <c r="B375" s="19"/>
      <c r="C375" s="6"/>
      <c r="D375" s="6"/>
    </row>
    <row r="376">
      <c r="A376" s="19"/>
      <c r="B376" s="19"/>
      <c r="C376" s="6"/>
      <c r="D376" s="6"/>
    </row>
    <row r="377">
      <c r="A377" s="19"/>
      <c r="B377" s="19"/>
      <c r="C377" s="6"/>
      <c r="D377" s="6"/>
    </row>
    <row r="378">
      <c r="A378" s="19"/>
      <c r="B378" s="19"/>
      <c r="C378" s="6"/>
      <c r="D378" s="6"/>
    </row>
    <row r="379">
      <c r="A379" s="19"/>
      <c r="B379" s="19"/>
      <c r="C379" s="6"/>
      <c r="D379" s="6"/>
    </row>
    <row r="380">
      <c r="A380" s="19"/>
      <c r="B380" s="19"/>
      <c r="C380" s="6"/>
      <c r="D380" s="6"/>
    </row>
    <row r="381">
      <c r="A381" s="19"/>
      <c r="B381" s="19"/>
      <c r="C381" s="4"/>
      <c r="D381" s="4"/>
    </row>
    <row r="382">
      <c r="A382" s="19"/>
      <c r="B382" s="19"/>
      <c r="C382" s="6"/>
      <c r="D382" s="6"/>
    </row>
    <row r="383">
      <c r="A383" s="19"/>
      <c r="B383" s="19"/>
      <c r="C383" s="6"/>
      <c r="D383" s="6"/>
    </row>
    <row r="384">
      <c r="A384" s="19"/>
      <c r="B384" s="19"/>
      <c r="C384" s="6"/>
      <c r="D384" s="6"/>
    </row>
    <row r="385">
      <c r="A385" s="19"/>
      <c r="B385" s="19"/>
      <c r="C385" s="6"/>
      <c r="D385" s="6"/>
    </row>
    <row r="386">
      <c r="A386" s="19"/>
      <c r="B386" s="19"/>
      <c r="C386" s="6"/>
      <c r="D386" s="6"/>
    </row>
    <row r="387">
      <c r="A387" s="19"/>
      <c r="B387" s="19"/>
      <c r="C387" s="6"/>
      <c r="D387" s="6"/>
    </row>
    <row r="388">
      <c r="A388" s="19"/>
      <c r="B388" s="19"/>
      <c r="C388" s="6"/>
      <c r="D388" s="6"/>
    </row>
    <row r="389">
      <c r="A389" s="19"/>
      <c r="B389" s="19"/>
      <c r="C389" s="6"/>
      <c r="D389" s="6"/>
    </row>
    <row r="390">
      <c r="A390" s="19"/>
      <c r="B390" s="19"/>
      <c r="C390" s="6"/>
      <c r="D390" s="6"/>
    </row>
    <row r="391">
      <c r="A391" s="19"/>
      <c r="B391" s="19"/>
      <c r="C391" s="6"/>
      <c r="D391" s="6"/>
    </row>
    <row r="392">
      <c r="A392" s="19"/>
      <c r="B392" s="19"/>
      <c r="C392" s="6"/>
      <c r="D392" s="6"/>
    </row>
    <row r="393">
      <c r="A393" s="19"/>
      <c r="B393" s="19"/>
      <c r="C393" s="6"/>
      <c r="D393" s="6"/>
    </row>
    <row r="394">
      <c r="A394" s="19"/>
      <c r="B394" s="19"/>
      <c r="C394" s="6"/>
      <c r="D394" s="6"/>
    </row>
    <row r="395">
      <c r="A395" s="19"/>
      <c r="B395" s="19"/>
      <c r="C395" s="6"/>
      <c r="D395" s="6"/>
    </row>
    <row r="396">
      <c r="A396" s="19"/>
      <c r="B396" s="19"/>
      <c r="C396" s="6"/>
      <c r="D396" s="6"/>
    </row>
    <row r="397">
      <c r="A397" s="19"/>
      <c r="B397" s="19"/>
      <c r="C397" s="6"/>
      <c r="D397" s="6"/>
    </row>
    <row r="398">
      <c r="A398" s="19"/>
      <c r="B398" s="19"/>
      <c r="C398" s="6"/>
      <c r="D398" s="6"/>
    </row>
    <row r="399">
      <c r="A399" s="19"/>
      <c r="B399" s="19"/>
      <c r="C399" s="6"/>
      <c r="D399" s="6"/>
    </row>
    <row r="400">
      <c r="A400" s="19"/>
      <c r="B400" s="19"/>
      <c r="C400" s="6"/>
      <c r="D400" s="6"/>
    </row>
    <row r="401">
      <c r="A401" s="19"/>
      <c r="B401" s="19"/>
      <c r="C401" s="4"/>
      <c r="D401" s="4"/>
    </row>
    <row r="402">
      <c r="A402" s="19"/>
      <c r="B402" s="19"/>
      <c r="C402" s="6"/>
      <c r="D402" s="6"/>
    </row>
    <row r="403">
      <c r="A403" s="19"/>
      <c r="B403" s="19"/>
      <c r="C403" s="6"/>
      <c r="D403" s="6"/>
    </row>
    <row r="404">
      <c r="A404" s="19"/>
      <c r="B404" s="19"/>
      <c r="C404" s="6"/>
      <c r="D404" s="6"/>
    </row>
    <row r="405">
      <c r="A405" s="19"/>
      <c r="B405" s="19"/>
      <c r="C405" s="6"/>
      <c r="D405" s="6"/>
    </row>
    <row r="406">
      <c r="A406" s="19"/>
      <c r="B406" s="19"/>
      <c r="C406" s="6"/>
      <c r="D406" s="6"/>
    </row>
    <row r="407">
      <c r="A407" s="19"/>
      <c r="B407" s="19"/>
      <c r="C407" s="6"/>
      <c r="D407" s="6"/>
    </row>
    <row r="408">
      <c r="A408" s="19"/>
      <c r="B408" s="19"/>
      <c r="C408" s="6"/>
      <c r="D408" s="6"/>
    </row>
    <row r="409">
      <c r="A409" s="19"/>
      <c r="B409" s="19"/>
      <c r="C409" s="6"/>
      <c r="D409" s="6"/>
    </row>
    <row r="410">
      <c r="A410" s="19"/>
      <c r="B410" s="19"/>
      <c r="C410" s="6"/>
      <c r="D410" s="6"/>
    </row>
    <row r="411">
      <c r="A411" s="19"/>
      <c r="B411" s="19"/>
      <c r="C411" s="6"/>
      <c r="D411" s="6"/>
    </row>
    <row r="412">
      <c r="A412" s="19"/>
      <c r="B412" s="19"/>
      <c r="C412" s="6"/>
      <c r="D412" s="6"/>
    </row>
    <row r="413">
      <c r="A413" s="19"/>
      <c r="B413" s="19"/>
      <c r="C413" s="6"/>
      <c r="D413" s="6"/>
    </row>
    <row r="414">
      <c r="A414" s="19"/>
      <c r="B414" s="19"/>
      <c r="C414" s="6"/>
      <c r="D414" s="6"/>
    </row>
    <row r="415">
      <c r="A415" s="19"/>
      <c r="B415" s="19"/>
      <c r="C415" s="6"/>
      <c r="D415" s="6"/>
    </row>
    <row r="416">
      <c r="A416" s="19"/>
      <c r="B416" s="19"/>
      <c r="C416" s="6"/>
      <c r="D416" s="6"/>
    </row>
    <row r="417">
      <c r="A417" s="19"/>
      <c r="B417" s="19"/>
      <c r="C417" s="6"/>
      <c r="D417" s="6"/>
    </row>
    <row r="418">
      <c r="A418" s="19"/>
      <c r="B418" s="19"/>
      <c r="C418" s="6"/>
      <c r="D418" s="6"/>
    </row>
    <row r="419">
      <c r="A419" s="19"/>
      <c r="B419" s="19"/>
      <c r="C419" s="6"/>
      <c r="D419" s="6"/>
    </row>
    <row r="420">
      <c r="A420" s="19"/>
      <c r="B420" s="19"/>
      <c r="C420" s="6"/>
      <c r="D420" s="6"/>
    </row>
    <row r="421">
      <c r="A421" s="19"/>
      <c r="B421" s="19"/>
      <c r="C421" s="4"/>
      <c r="D421" s="4"/>
    </row>
    <row r="422">
      <c r="A422" s="19"/>
      <c r="B422" s="19"/>
      <c r="C422" s="6"/>
      <c r="D422" s="6"/>
    </row>
    <row r="423">
      <c r="A423" s="19"/>
      <c r="B423" s="19"/>
      <c r="C423" s="6"/>
      <c r="D423" s="6"/>
    </row>
    <row r="424">
      <c r="A424" s="19"/>
      <c r="B424" s="19"/>
      <c r="C424" s="6"/>
      <c r="D424" s="6"/>
    </row>
    <row r="425">
      <c r="A425" s="19"/>
      <c r="B425" s="19"/>
      <c r="C425" s="6"/>
      <c r="D425" s="6"/>
    </row>
    <row r="426">
      <c r="A426" s="19"/>
      <c r="B426" s="19"/>
      <c r="C426" s="6"/>
      <c r="D426" s="6"/>
    </row>
    <row r="427">
      <c r="A427" s="19"/>
      <c r="B427" s="19"/>
      <c r="C427" s="6"/>
      <c r="D427" s="6"/>
    </row>
    <row r="428">
      <c r="A428" s="19"/>
      <c r="B428" s="19"/>
      <c r="C428" s="6"/>
      <c r="D428" s="6"/>
    </row>
    <row r="429">
      <c r="A429" s="19"/>
      <c r="B429" s="19"/>
      <c r="C429" s="6"/>
      <c r="D429" s="6"/>
    </row>
    <row r="430">
      <c r="A430" s="19"/>
      <c r="B430" s="19"/>
      <c r="C430" s="6"/>
      <c r="D430" s="6"/>
    </row>
    <row r="431">
      <c r="A431" s="19"/>
      <c r="B431" s="19"/>
      <c r="C431" s="6"/>
      <c r="D431" s="6"/>
    </row>
    <row r="432">
      <c r="A432" s="19"/>
      <c r="B432" s="19"/>
      <c r="C432" s="6"/>
      <c r="D432" s="6"/>
    </row>
    <row r="433">
      <c r="A433" s="19"/>
      <c r="B433" s="19"/>
      <c r="C433" s="6"/>
      <c r="D433" s="6"/>
    </row>
    <row r="434">
      <c r="A434" s="19"/>
      <c r="B434" s="19"/>
      <c r="C434" s="6"/>
      <c r="D434" s="6"/>
    </row>
    <row r="435">
      <c r="A435" s="19"/>
      <c r="B435" s="19"/>
      <c r="C435" s="6"/>
      <c r="D435" s="6"/>
    </row>
    <row r="436">
      <c r="A436" s="19"/>
      <c r="B436" s="19"/>
      <c r="C436" s="6"/>
      <c r="D436" s="6"/>
    </row>
    <row r="437">
      <c r="A437" s="19"/>
      <c r="B437" s="19"/>
      <c r="C437" s="6"/>
      <c r="D437" s="6"/>
    </row>
    <row r="438">
      <c r="A438" s="19"/>
      <c r="B438" s="19"/>
      <c r="C438" s="6"/>
      <c r="D438" s="6"/>
    </row>
    <row r="439">
      <c r="A439" s="19"/>
      <c r="B439" s="19"/>
      <c r="C439" s="6"/>
      <c r="D439" s="6"/>
    </row>
    <row r="440">
      <c r="A440" s="19"/>
      <c r="B440" s="19"/>
      <c r="C440" s="6"/>
      <c r="D440" s="6"/>
    </row>
    <row r="441">
      <c r="A441" s="19"/>
      <c r="B441" s="19"/>
      <c r="C441" s="4"/>
      <c r="D441" s="4"/>
    </row>
    <row r="442">
      <c r="A442" s="19"/>
      <c r="B442" s="19"/>
      <c r="C442" s="6"/>
      <c r="D442" s="6"/>
    </row>
    <row r="443">
      <c r="A443" s="19"/>
      <c r="B443" s="19"/>
      <c r="C443" s="6"/>
      <c r="D443" s="6"/>
    </row>
    <row r="444">
      <c r="A444" s="19"/>
      <c r="B444" s="19"/>
      <c r="C444" s="6"/>
      <c r="D444" s="6"/>
    </row>
    <row r="445">
      <c r="A445" s="19"/>
      <c r="B445" s="19"/>
      <c r="C445" s="6"/>
      <c r="D445" s="6"/>
    </row>
    <row r="446">
      <c r="A446" s="19"/>
      <c r="B446" s="19"/>
      <c r="C446" s="6"/>
      <c r="D446" s="6"/>
    </row>
    <row r="447">
      <c r="A447" s="19"/>
      <c r="B447" s="19"/>
      <c r="C447" s="6"/>
      <c r="D447" s="6"/>
    </row>
    <row r="448">
      <c r="A448" s="19"/>
      <c r="B448" s="19"/>
      <c r="C448" s="6"/>
      <c r="D448" s="6"/>
    </row>
    <row r="449">
      <c r="A449" s="19"/>
      <c r="B449" s="19"/>
      <c r="C449" s="6"/>
      <c r="D449" s="6"/>
    </row>
    <row r="450">
      <c r="A450" s="19"/>
      <c r="B450" s="19"/>
      <c r="C450" s="6"/>
      <c r="D450" s="6"/>
    </row>
    <row r="451">
      <c r="A451" s="19"/>
      <c r="B451" s="19"/>
      <c r="C451" s="6"/>
      <c r="D451" s="6"/>
    </row>
    <row r="452">
      <c r="A452" s="19"/>
      <c r="B452" s="19"/>
      <c r="C452" s="6"/>
      <c r="D452" s="6"/>
    </row>
    <row r="453">
      <c r="A453" s="19"/>
      <c r="B453" s="19"/>
      <c r="C453" s="6"/>
      <c r="D453" s="6"/>
    </row>
    <row r="454">
      <c r="A454" s="19"/>
      <c r="B454" s="19"/>
      <c r="C454" s="6"/>
      <c r="D454" s="6"/>
    </row>
    <row r="455">
      <c r="A455" s="19"/>
      <c r="B455" s="19"/>
      <c r="C455" s="6"/>
      <c r="D455" s="6"/>
    </row>
    <row r="456">
      <c r="A456" s="19"/>
      <c r="B456" s="19"/>
      <c r="C456" s="6"/>
      <c r="D456" s="6"/>
    </row>
    <row r="457">
      <c r="A457" s="19"/>
      <c r="B457" s="19"/>
      <c r="C457" s="6"/>
      <c r="D457" s="6"/>
    </row>
    <row r="458">
      <c r="A458" s="19"/>
      <c r="B458" s="19"/>
      <c r="C458" s="6"/>
      <c r="D458" s="6"/>
    </row>
    <row r="459">
      <c r="A459" s="19"/>
      <c r="B459" s="19"/>
      <c r="C459" s="6"/>
      <c r="D459" s="6"/>
    </row>
    <row r="460">
      <c r="A460" s="19"/>
      <c r="B460" s="19"/>
      <c r="C460" s="6"/>
      <c r="D460" s="6"/>
    </row>
    <row r="461">
      <c r="A461" s="19"/>
      <c r="B461" s="19"/>
      <c r="C461" s="4"/>
      <c r="D461" s="4"/>
    </row>
    <row r="462">
      <c r="A462" s="19"/>
      <c r="B462" s="19"/>
      <c r="C462" s="6"/>
      <c r="D462" s="6"/>
    </row>
    <row r="463">
      <c r="A463" s="19"/>
      <c r="B463" s="19"/>
      <c r="C463" s="6"/>
      <c r="D463" s="6"/>
    </row>
    <row r="464">
      <c r="A464" s="19"/>
      <c r="B464" s="19"/>
      <c r="C464" s="6"/>
      <c r="D464" s="6"/>
    </row>
    <row r="465">
      <c r="A465" s="19"/>
      <c r="B465" s="19"/>
      <c r="C465" s="6"/>
      <c r="D465" s="6"/>
    </row>
    <row r="466">
      <c r="A466" s="19"/>
      <c r="B466" s="19"/>
      <c r="C466" s="6"/>
      <c r="D466" s="6"/>
    </row>
    <row r="467">
      <c r="A467" s="19"/>
      <c r="B467" s="19"/>
      <c r="C467" s="6"/>
      <c r="D467" s="6"/>
    </row>
    <row r="468">
      <c r="A468" s="19"/>
      <c r="B468" s="19"/>
      <c r="C468" s="6"/>
      <c r="D468" s="6"/>
    </row>
    <row r="469">
      <c r="A469" s="19"/>
      <c r="B469" s="19"/>
      <c r="C469" s="6"/>
      <c r="D469" s="6"/>
    </row>
    <row r="470">
      <c r="A470" s="19"/>
      <c r="B470" s="19"/>
      <c r="C470" s="6"/>
      <c r="D470" s="6"/>
    </row>
    <row r="471">
      <c r="A471" s="19"/>
      <c r="B471" s="19"/>
      <c r="C471" s="6"/>
      <c r="D471" s="6"/>
    </row>
    <row r="472">
      <c r="A472" s="19"/>
      <c r="B472" s="19"/>
      <c r="C472" s="6"/>
      <c r="D472" s="6"/>
    </row>
    <row r="473">
      <c r="A473" s="19"/>
      <c r="B473" s="19"/>
      <c r="C473" s="6"/>
      <c r="D473" s="6"/>
    </row>
    <row r="474">
      <c r="A474" s="19"/>
      <c r="B474" s="19"/>
      <c r="C474" s="6"/>
      <c r="D474" s="6"/>
    </row>
    <row r="475">
      <c r="A475" s="19"/>
      <c r="B475" s="19"/>
      <c r="C475" s="6"/>
      <c r="D475" s="6"/>
    </row>
    <row r="476">
      <c r="A476" s="19"/>
      <c r="B476" s="19"/>
      <c r="C476" s="6"/>
      <c r="D476" s="6"/>
    </row>
    <row r="477">
      <c r="A477" s="19"/>
      <c r="B477" s="19"/>
      <c r="C477" s="6"/>
      <c r="D477" s="6"/>
    </row>
    <row r="478">
      <c r="A478" s="19"/>
      <c r="B478" s="19"/>
      <c r="C478" s="6"/>
      <c r="D478" s="6"/>
    </row>
    <row r="479">
      <c r="A479" s="19"/>
      <c r="B479" s="19"/>
      <c r="C479" s="6"/>
      <c r="D479" s="6"/>
    </row>
    <row r="480">
      <c r="A480" s="19"/>
      <c r="B480" s="19"/>
      <c r="C480" s="6"/>
      <c r="D480" s="6"/>
    </row>
    <row r="481">
      <c r="A481" s="19"/>
      <c r="B481" s="19"/>
      <c r="C481" s="4"/>
      <c r="D481" s="4"/>
    </row>
    <row r="482">
      <c r="A482" s="19"/>
      <c r="B482" s="19"/>
      <c r="C482" s="6"/>
      <c r="D482" s="6"/>
    </row>
    <row r="483">
      <c r="A483" s="19"/>
      <c r="B483" s="19"/>
      <c r="C483" s="6"/>
      <c r="D483" s="6"/>
    </row>
    <row r="484">
      <c r="A484" s="19"/>
      <c r="B484" s="19"/>
      <c r="C484" s="6"/>
      <c r="D484" s="6"/>
    </row>
    <row r="485">
      <c r="A485" s="19"/>
      <c r="B485" s="19"/>
      <c r="C485" s="6"/>
      <c r="D485" s="6"/>
    </row>
    <row r="486">
      <c r="A486" s="19"/>
      <c r="B486" s="19"/>
      <c r="C486" s="6"/>
      <c r="D486" s="6"/>
    </row>
    <row r="487">
      <c r="A487" s="19"/>
      <c r="B487" s="19"/>
      <c r="C487" s="6"/>
      <c r="D487" s="6"/>
    </row>
    <row r="488">
      <c r="A488" s="19"/>
      <c r="B488" s="19"/>
      <c r="C488" s="6"/>
      <c r="D488" s="6"/>
    </row>
    <row r="489">
      <c r="A489" s="19"/>
      <c r="B489" s="19"/>
      <c r="C489" s="6"/>
      <c r="D489" s="6"/>
    </row>
    <row r="490">
      <c r="A490" s="19"/>
      <c r="B490" s="19"/>
      <c r="C490" s="6"/>
      <c r="D490" s="6"/>
    </row>
    <row r="491">
      <c r="A491" s="19"/>
      <c r="B491" s="19"/>
      <c r="C491" s="6"/>
      <c r="D491" s="6"/>
    </row>
    <row r="492">
      <c r="A492" s="19"/>
      <c r="B492" s="19"/>
      <c r="C492" s="6"/>
      <c r="D492" s="6"/>
    </row>
    <row r="493">
      <c r="A493" s="19"/>
      <c r="B493" s="19"/>
      <c r="C493" s="6"/>
      <c r="D493" s="6"/>
    </row>
    <row r="494">
      <c r="A494" s="19"/>
      <c r="B494" s="19"/>
      <c r="C494" s="6"/>
      <c r="D494" s="6"/>
    </row>
    <row r="495">
      <c r="A495" s="19"/>
      <c r="B495" s="19"/>
      <c r="C495" s="6"/>
      <c r="D495" s="6"/>
    </row>
    <row r="496">
      <c r="A496" s="19"/>
      <c r="B496" s="19"/>
      <c r="C496" s="6"/>
      <c r="D496" s="6"/>
    </row>
    <row r="497">
      <c r="A497" s="19"/>
      <c r="B497" s="19"/>
      <c r="C497" s="6"/>
      <c r="D497" s="6"/>
    </row>
    <row r="498">
      <c r="A498" s="19"/>
      <c r="B498" s="19"/>
      <c r="C498" s="6"/>
      <c r="D498" s="6"/>
    </row>
    <row r="499">
      <c r="A499" s="19"/>
      <c r="B499" s="19"/>
      <c r="C499" s="6"/>
      <c r="D499" s="6"/>
    </row>
    <row r="500">
      <c r="A500" s="19"/>
      <c r="B500" s="19"/>
      <c r="C500" s="6"/>
      <c r="D500" s="6"/>
    </row>
    <row r="501">
      <c r="A501" s="19"/>
      <c r="B501" s="19"/>
      <c r="C501" s="4"/>
      <c r="D501" s="4"/>
    </row>
    <row r="502">
      <c r="A502" s="19"/>
      <c r="B502" s="19"/>
      <c r="C502" s="6"/>
      <c r="D502" s="6"/>
    </row>
    <row r="503">
      <c r="A503" s="19"/>
      <c r="B503" s="19"/>
      <c r="C503" s="6"/>
      <c r="D503" s="6"/>
    </row>
    <row r="504">
      <c r="A504" s="19"/>
      <c r="B504" s="19"/>
      <c r="C504" s="6"/>
      <c r="D504" s="6"/>
    </row>
    <row r="505">
      <c r="A505" s="19"/>
      <c r="B505" s="19"/>
      <c r="C505" s="6"/>
      <c r="D505" s="6"/>
    </row>
    <row r="506">
      <c r="A506" s="19"/>
      <c r="B506" s="19"/>
      <c r="C506" s="6"/>
      <c r="D506" s="6"/>
    </row>
    <row r="507">
      <c r="A507" s="19"/>
      <c r="B507" s="19"/>
      <c r="C507" s="6"/>
      <c r="D507" s="6"/>
    </row>
    <row r="508">
      <c r="A508" s="19"/>
      <c r="B508" s="19"/>
      <c r="C508" s="6"/>
      <c r="D508" s="6"/>
    </row>
    <row r="509">
      <c r="A509" s="19"/>
      <c r="B509" s="19"/>
      <c r="C509" s="6"/>
      <c r="D509" s="6"/>
    </row>
    <row r="510">
      <c r="A510" s="19"/>
      <c r="B510" s="19"/>
      <c r="C510" s="6"/>
      <c r="D510" s="6"/>
    </row>
    <row r="511">
      <c r="A511" s="19"/>
      <c r="B511" s="19"/>
      <c r="C511" s="6"/>
      <c r="D511" s="6"/>
    </row>
    <row r="512">
      <c r="A512" s="19"/>
      <c r="B512" s="19"/>
      <c r="C512" s="6"/>
      <c r="D512" s="6"/>
    </row>
    <row r="513">
      <c r="A513" s="19"/>
      <c r="B513" s="19"/>
      <c r="C513" s="6"/>
      <c r="D513" s="6"/>
    </row>
    <row r="514">
      <c r="A514" s="19"/>
      <c r="B514" s="19"/>
      <c r="C514" s="6"/>
      <c r="D514" s="6"/>
    </row>
    <row r="515">
      <c r="A515" s="19"/>
      <c r="B515" s="19"/>
      <c r="C515" s="6"/>
      <c r="D515" s="6"/>
    </row>
    <row r="516">
      <c r="A516" s="19"/>
      <c r="B516" s="19"/>
      <c r="C516" s="6"/>
      <c r="D516" s="6"/>
    </row>
    <row r="517">
      <c r="A517" s="19"/>
      <c r="B517" s="19"/>
      <c r="C517" s="6"/>
      <c r="D517" s="6"/>
    </row>
    <row r="518">
      <c r="A518" s="19"/>
      <c r="B518" s="19"/>
      <c r="C518" s="6"/>
      <c r="D518" s="6"/>
    </row>
    <row r="519">
      <c r="A519" s="19"/>
      <c r="B519" s="19"/>
      <c r="C519" s="6"/>
      <c r="D519" s="6"/>
    </row>
    <row r="520">
      <c r="A520" s="19"/>
      <c r="B520" s="19"/>
      <c r="C520" s="6"/>
      <c r="D520" s="6"/>
    </row>
    <row r="521">
      <c r="A521" s="19"/>
      <c r="B521" s="19"/>
      <c r="C521" s="4"/>
      <c r="D521" s="4"/>
    </row>
    <row r="522">
      <c r="A522" s="19"/>
      <c r="B522" s="19"/>
      <c r="C522" s="6"/>
      <c r="D522" s="6"/>
    </row>
    <row r="523">
      <c r="A523" s="19"/>
      <c r="B523" s="19"/>
      <c r="C523" s="6"/>
      <c r="D523" s="6"/>
    </row>
    <row r="524">
      <c r="A524" s="19"/>
      <c r="B524" s="19"/>
      <c r="C524" s="6"/>
      <c r="D524" s="6"/>
    </row>
    <row r="525">
      <c r="A525" s="19"/>
      <c r="B525" s="19"/>
      <c r="C525" s="6"/>
      <c r="D525" s="6"/>
    </row>
    <row r="526">
      <c r="A526" s="19"/>
      <c r="B526" s="19"/>
      <c r="C526" s="6"/>
      <c r="D526" s="6"/>
    </row>
    <row r="527">
      <c r="A527" s="19"/>
      <c r="B527" s="19"/>
      <c r="C527" s="6"/>
      <c r="D527" s="6"/>
    </row>
    <row r="528">
      <c r="A528" s="19"/>
      <c r="B528" s="19"/>
      <c r="C528" s="6"/>
      <c r="D528" s="6"/>
    </row>
    <row r="529">
      <c r="A529" s="19"/>
      <c r="B529" s="19"/>
      <c r="C529" s="6"/>
      <c r="D529" s="6"/>
    </row>
    <row r="530">
      <c r="A530" s="19"/>
      <c r="B530" s="19"/>
      <c r="C530" s="6"/>
      <c r="D530" s="6"/>
    </row>
    <row r="531">
      <c r="A531" s="19"/>
      <c r="B531" s="19"/>
      <c r="C531" s="6"/>
      <c r="D531" s="6"/>
    </row>
    <row r="532">
      <c r="A532" s="19"/>
      <c r="B532" s="19"/>
      <c r="C532" s="6"/>
      <c r="D532" s="6"/>
    </row>
    <row r="533">
      <c r="A533" s="19"/>
      <c r="B533" s="19"/>
      <c r="C533" s="6"/>
      <c r="D533" s="6"/>
    </row>
    <row r="534">
      <c r="A534" s="19"/>
      <c r="B534" s="19"/>
      <c r="C534" s="6"/>
      <c r="D534" s="6"/>
    </row>
    <row r="535">
      <c r="A535" s="19"/>
      <c r="B535" s="19"/>
      <c r="C535" s="6"/>
      <c r="D535" s="6"/>
    </row>
    <row r="536">
      <c r="A536" s="19"/>
      <c r="B536" s="19"/>
      <c r="C536" s="6"/>
      <c r="D536" s="6"/>
    </row>
    <row r="537">
      <c r="A537" s="19"/>
      <c r="B537" s="19"/>
      <c r="C537" s="6"/>
      <c r="D537" s="6"/>
    </row>
    <row r="538">
      <c r="A538" s="19"/>
      <c r="B538" s="19"/>
      <c r="C538" s="6"/>
      <c r="D538" s="6"/>
    </row>
    <row r="539">
      <c r="A539" s="19"/>
      <c r="B539" s="19"/>
      <c r="C539" s="6"/>
      <c r="D539" s="6"/>
    </row>
    <row r="540">
      <c r="A540" s="19"/>
      <c r="B540" s="19"/>
      <c r="C540" s="6"/>
      <c r="D540" s="6"/>
    </row>
    <row r="541">
      <c r="A541" s="19"/>
      <c r="B541" s="19"/>
      <c r="C541" s="4"/>
      <c r="D541" s="4"/>
    </row>
    <row r="542">
      <c r="A542" s="19"/>
      <c r="B542" s="19"/>
      <c r="C542" s="6"/>
      <c r="D542" s="6"/>
    </row>
    <row r="543">
      <c r="A543" s="19"/>
      <c r="B543" s="19"/>
      <c r="C543" s="6"/>
      <c r="D543" s="6"/>
    </row>
    <row r="544">
      <c r="A544" s="19"/>
      <c r="B544" s="19"/>
      <c r="C544" s="6"/>
      <c r="D544" s="6"/>
    </row>
    <row r="545">
      <c r="A545" s="19"/>
      <c r="B545" s="19"/>
      <c r="C545" s="6"/>
      <c r="D545" s="6"/>
    </row>
    <row r="546">
      <c r="A546" s="19"/>
      <c r="B546" s="19"/>
      <c r="C546" s="6"/>
      <c r="D546" s="6"/>
    </row>
    <row r="547">
      <c r="A547" s="19"/>
      <c r="B547" s="19"/>
      <c r="C547" s="6"/>
      <c r="D547" s="6"/>
    </row>
    <row r="548">
      <c r="A548" s="19"/>
      <c r="B548" s="19"/>
      <c r="C548" s="6"/>
      <c r="D548" s="6"/>
    </row>
    <row r="549">
      <c r="A549" s="19"/>
      <c r="B549" s="19"/>
      <c r="C549" s="6"/>
      <c r="D549" s="6"/>
    </row>
    <row r="550">
      <c r="A550" s="19"/>
      <c r="B550" s="19"/>
      <c r="C550" s="6"/>
      <c r="D550" s="6"/>
    </row>
    <row r="551">
      <c r="A551" s="19"/>
      <c r="B551" s="19"/>
      <c r="C551" s="6"/>
      <c r="D551" s="6"/>
    </row>
    <row r="552">
      <c r="A552" s="19"/>
      <c r="B552" s="19"/>
      <c r="C552" s="6"/>
      <c r="D552" s="6"/>
    </row>
    <row r="553">
      <c r="A553" s="19"/>
      <c r="B553" s="19"/>
      <c r="C553" s="6"/>
      <c r="D553" s="6"/>
    </row>
    <row r="554">
      <c r="A554" s="19"/>
      <c r="B554" s="19"/>
      <c r="C554" s="6"/>
      <c r="D554" s="6"/>
    </row>
    <row r="555">
      <c r="A555" s="19"/>
      <c r="B555" s="19"/>
      <c r="C555" s="6"/>
      <c r="D555" s="6"/>
    </row>
    <row r="556">
      <c r="A556" s="19"/>
      <c r="B556" s="19"/>
      <c r="C556" s="6"/>
      <c r="D556" s="6"/>
    </row>
    <row r="557">
      <c r="A557" s="19"/>
      <c r="B557" s="19"/>
      <c r="C557" s="6"/>
      <c r="D557" s="6"/>
    </row>
    <row r="558">
      <c r="A558" s="19"/>
      <c r="B558" s="19"/>
      <c r="C558" s="6"/>
      <c r="D558" s="6"/>
    </row>
    <row r="559">
      <c r="A559" s="19"/>
      <c r="B559" s="19"/>
      <c r="C559" s="6"/>
      <c r="D559" s="6"/>
    </row>
    <row r="560">
      <c r="A560" s="19"/>
      <c r="B560" s="19"/>
      <c r="C560" s="6"/>
      <c r="D560" s="6"/>
    </row>
    <row r="561">
      <c r="A561" s="19"/>
      <c r="B561" s="19"/>
      <c r="C561" s="4"/>
      <c r="D561" s="4"/>
    </row>
    <row r="562">
      <c r="A562" s="19"/>
      <c r="B562" s="19"/>
      <c r="C562" s="6"/>
      <c r="D562" s="6"/>
    </row>
    <row r="563">
      <c r="A563" s="19"/>
      <c r="B563" s="19"/>
      <c r="C563" s="6"/>
      <c r="D563" s="6"/>
    </row>
    <row r="564">
      <c r="A564" s="19"/>
      <c r="B564" s="19"/>
      <c r="C564" s="6"/>
      <c r="D564" s="6"/>
    </row>
    <row r="565">
      <c r="A565" s="19"/>
      <c r="B565" s="19"/>
      <c r="C565" s="6"/>
      <c r="D565" s="6"/>
    </row>
    <row r="566">
      <c r="A566" s="19"/>
      <c r="B566" s="19"/>
      <c r="C566" s="6"/>
      <c r="D566" s="6"/>
    </row>
    <row r="567">
      <c r="A567" s="19"/>
      <c r="B567" s="19"/>
      <c r="C567" s="6"/>
      <c r="D567" s="6"/>
    </row>
    <row r="568">
      <c r="A568" s="19"/>
      <c r="B568" s="19"/>
      <c r="C568" s="6"/>
      <c r="D568" s="6"/>
    </row>
    <row r="569">
      <c r="A569" s="19"/>
      <c r="B569" s="19"/>
      <c r="C569" s="6"/>
      <c r="D569" s="6"/>
    </row>
    <row r="570">
      <c r="A570" s="19"/>
      <c r="B570" s="19"/>
      <c r="C570" s="6"/>
      <c r="D570" s="6"/>
    </row>
    <row r="571">
      <c r="A571" s="19"/>
      <c r="B571" s="19"/>
      <c r="C571" s="6"/>
      <c r="D571" s="6"/>
    </row>
    <row r="572">
      <c r="A572" s="19"/>
      <c r="B572" s="19"/>
      <c r="C572" s="6"/>
      <c r="D572" s="6"/>
    </row>
    <row r="573">
      <c r="A573" s="19"/>
      <c r="B573" s="19"/>
      <c r="C573" s="6"/>
      <c r="D573" s="6"/>
    </row>
    <row r="574">
      <c r="A574" s="19"/>
      <c r="B574" s="19"/>
      <c r="C574" s="6"/>
      <c r="D574" s="6"/>
    </row>
    <row r="575">
      <c r="A575" s="19"/>
      <c r="B575" s="19"/>
      <c r="C575" s="6"/>
      <c r="D575" s="6"/>
    </row>
    <row r="576">
      <c r="A576" s="19"/>
      <c r="B576" s="19"/>
      <c r="C576" s="6"/>
      <c r="D576" s="6"/>
    </row>
    <row r="577">
      <c r="A577" s="19"/>
      <c r="B577" s="19"/>
      <c r="C577" s="6"/>
      <c r="D577" s="6"/>
    </row>
    <row r="578">
      <c r="A578" s="19"/>
      <c r="B578" s="19"/>
      <c r="C578" s="6"/>
      <c r="D578" s="6"/>
    </row>
    <row r="579">
      <c r="A579" s="19"/>
      <c r="B579" s="19"/>
      <c r="C579" s="6"/>
      <c r="D579" s="6"/>
    </row>
    <row r="580">
      <c r="A580" s="19"/>
      <c r="B580" s="19"/>
      <c r="C580" s="6"/>
      <c r="D580" s="6"/>
    </row>
    <row r="581">
      <c r="A581" s="19"/>
      <c r="B581" s="19"/>
      <c r="C581" s="4"/>
      <c r="D581" s="4"/>
    </row>
    <row r="582">
      <c r="A582" s="19"/>
      <c r="B582" s="19"/>
      <c r="C582" s="6"/>
      <c r="D582" s="6"/>
    </row>
    <row r="583">
      <c r="A583" s="19"/>
      <c r="B583" s="19"/>
      <c r="C583" s="6"/>
      <c r="D583" s="6"/>
    </row>
    <row r="584">
      <c r="A584" s="19"/>
      <c r="B584" s="19"/>
      <c r="C584" s="6"/>
      <c r="D584" s="6"/>
    </row>
    <row r="585">
      <c r="A585" s="19"/>
      <c r="B585" s="19"/>
      <c r="C585" s="6"/>
      <c r="D585" s="6"/>
    </row>
    <row r="586">
      <c r="A586" s="19"/>
      <c r="B586" s="19"/>
      <c r="C586" s="6"/>
      <c r="D586" s="6"/>
    </row>
    <row r="587">
      <c r="A587" s="19"/>
      <c r="B587" s="19"/>
      <c r="C587" s="6"/>
      <c r="D587" s="6"/>
    </row>
    <row r="588">
      <c r="A588" s="19"/>
      <c r="B588" s="19"/>
      <c r="C588" s="6"/>
      <c r="D588" s="6"/>
    </row>
    <row r="589">
      <c r="A589" s="19"/>
      <c r="B589" s="19"/>
      <c r="C589" s="6"/>
      <c r="D589" s="6"/>
    </row>
    <row r="590">
      <c r="A590" s="19"/>
      <c r="B590" s="19"/>
      <c r="C590" s="6"/>
      <c r="D590" s="6"/>
    </row>
    <row r="591">
      <c r="A591" s="19"/>
      <c r="B591" s="19"/>
      <c r="C591" s="6"/>
      <c r="D591" s="6"/>
    </row>
    <row r="592">
      <c r="A592" s="19"/>
      <c r="B592" s="19"/>
      <c r="C592" s="6"/>
      <c r="D592" s="6"/>
    </row>
    <row r="593">
      <c r="A593" s="19"/>
      <c r="B593" s="19"/>
      <c r="C593" s="6"/>
      <c r="D593" s="6"/>
    </row>
    <row r="594">
      <c r="A594" s="19"/>
      <c r="B594" s="19"/>
      <c r="C594" s="6"/>
      <c r="D594" s="6"/>
    </row>
    <row r="595">
      <c r="A595" s="19"/>
      <c r="B595" s="19"/>
      <c r="C595" s="6"/>
      <c r="D595" s="6"/>
    </row>
    <row r="596">
      <c r="A596" s="19"/>
      <c r="B596" s="19"/>
      <c r="C596" s="6"/>
      <c r="D596" s="6"/>
    </row>
    <row r="597">
      <c r="A597" s="19"/>
      <c r="B597" s="19"/>
      <c r="C597" s="6"/>
      <c r="D597" s="6"/>
    </row>
    <row r="598">
      <c r="A598" s="19"/>
      <c r="B598" s="19"/>
      <c r="C598" s="6"/>
      <c r="D598" s="6"/>
    </row>
    <row r="599">
      <c r="A599" s="19"/>
      <c r="B599" s="19"/>
      <c r="C599" s="6"/>
      <c r="D599" s="6"/>
    </row>
    <row r="600">
      <c r="A600" s="19"/>
      <c r="B600" s="19"/>
      <c r="C600" s="6"/>
      <c r="D600" s="6"/>
    </row>
    <row r="601">
      <c r="A601" s="19"/>
      <c r="B601" s="19"/>
      <c r="C601" s="4"/>
      <c r="D601" s="4"/>
    </row>
    <row r="602">
      <c r="A602" s="19"/>
      <c r="B602" s="19"/>
      <c r="C602" s="6"/>
      <c r="D602" s="6"/>
    </row>
    <row r="603">
      <c r="A603" s="19"/>
      <c r="B603" s="19"/>
      <c r="C603" s="6"/>
      <c r="D603" s="6"/>
    </row>
    <row r="604">
      <c r="A604" s="19"/>
      <c r="B604" s="19"/>
      <c r="C604" s="6"/>
      <c r="D604" s="6"/>
    </row>
    <row r="605">
      <c r="A605" s="19"/>
      <c r="B605" s="19"/>
      <c r="C605" s="6"/>
      <c r="D605" s="6"/>
    </row>
    <row r="606">
      <c r="A606" s="19"/>
      <c r="B606" s="19"/>
      <c r="C606" s="6"/>
      <c r="D606" s="6"/>
    </row>
    <row r="607">
      <c r="A607" s="19"/>
      <c r="B607" s="19"/>
      <c r="C607" s="6"/>
      <c r="D607" s="6"/>
    </row>
    <row r="608">
      <c r="A608" s="19"/>
      <c r="B608" s="19"/>
      <c r="C608" s="6"/>
      <c r="D608" s="6"/>
    </row>
    <row r="609">
      <c r="A609" s="19"/>
      <c r="B609" s="19"/>
      <c r="C609" s="6"/>
      <c r="D609" s="6"/>
    </row>
    <row r="610">
      <c r="A610" s="19"/>
      <c r="B610" s="19"/>
      <c r="C610" s="6"/>
      <c r="D610" s="6"/>
    </row>
    <row r="611">
      <c r="A611" s="19"/>
      <c r="B611" s="19"/>
      <c r="C611" s="6"/>
      <c r="D611" s="6"/>
    </row>
    <row r="612">
      <c r="A612" s="19"/>
      <c r="B612" s="19"/>
      <c r="C612" s="6"/>
      <c r="D612" s="6"/>
    </row>
    <row r="613">
      <c r="A613" s="19"/>
      <c r="B613" s="19"/>
      <c r="C613" s="6"/>
      <c r="D613" s="6"/>
    </row>
    <row r="614">
      <c r="A614" s="19"/>
      <c r="B614" s="19"/>
      <c r="C614" s="6"/>
      <c r="D614" s="6"/>
    </row>
    <row r="615">
      <c r="A615" s="19"/>
      <c r="B615" s="19"/>
      <c r="C615" s="6"/>
      <c r="D615" s="6"/>
    </row>
    <row r="616">
      <c r="A616" s="19"/>
      <c r="B616" s="19"/>
      <c r="C616" s="6"/>
      <c r="D616" s="6"/>
    </row>
    <row r="617">
      <c r="A617" s="19"/>
      <c r="B617" s="19"/>
      <c r="C617" s="6"/>
      <c r="D617" s="6"/>
    </row>
    <row r="618">
      <c r="A618" s="19"/>
      <c r="B618" s="19"/>
      <c r="C618" s="6"/>
      <c r="D618" s="6"/>
    </row>
    <row r="619">
      <c r="A619" s="19"/>
      <c r="B619" s="19"/>
      <c r="C619" s="6"/>
      <c r="D619" s="6"/>
    </row>
    <row r="620">
      <c r="A620" s="19"/>
      <c r="B620" s="19"/>
      <c r="C620" s="6"/>
      <c r="D620" s="6"/>
    </row>
    <row r="621">
      <c r="A621" s="19"/>
      <c r="B621" s="19"/>
      <c r="C621" s="4"/>
      <c r="D621" s="4"/>
    </row>
    <row r="622">
      <c r="A622" s="19"/>
      <c r="B622" s="19"/>
      <c r="C622" s="6"/>
      <c r="D622" s="6"/>
    </row>
    <row r="623">
      <c r="A623" s="19"/>
      <c r="B623" s="19"/>
      <c r="C623" s="6"/>
      <c r="D623" s="6"/>
    </row>
    <row r="624">
      <c r="A624" s="19"/>
      <c r="B624" s="19"/>
      <c r="C624" s="6"/>
      <c r="D624" s="6"/>
    </row>
    <row r="625">
      <c r="A625" s="19"/>
      <c r="B625" s="19"/>
      <c r="C625" s="6"/>
      <c r="D625" s="6"/>
    </row>
    <row r="626">
      <c r="A626" s="19"/>
      <c r="B626" s="19"/>
      <c r="C626" s="6"/>
      <c r="D626" s="6"/>
    </row>
    <row r="627">
      <c r="A627" s="19"/>
      <c r="B627" s="19"/>
      <c r="C627" s="6"/>
      <c r="D627" s="6"/>
    </row>
    <row r="628">
      <c r="A628" s="19"/>
      <c r="B628" s="19"/>
      <c r="C628" s="6"/>
      <c r="D628" s="6"/>
    </row>
    <row r="629">
      <c r="A629" s="19"/>
      <c r="B629" s="19"/>
      <c r="C629" s="6"/>
      <c r="D629" s="6"/>
    </row>
    <row r="630">
      <c r="A630" s="19"/>
      <c r="B630" s="19"/>
      <c r="C630" s="6"/>
      <c r="D630" s="6"/>
    </row>
    <row r="631">
      <c r="A631" s="19"/>
      <c r="B631" s="19"/>
      <c r="C631" s="6"/>
      <c r="D631" s="6"/>
    </row>
    <row r="632">
      <c r="A632" s="19"/>
      <c r="B632" s="19"/>
      <c r="C632" s="6"/>
      <c r="D632" s="6"/>
    </row>
    <row r="633">
      <c r="A633" s="19"/>
      <c r="B633" s="19"/>
      <c r="C633" s="6"/>
      <c r="D633" s="6"/>
    </row>
    <row r="634">
      <c r="A634" s="19"/>
      <c r="B634" s="19"/>
      <c r="C634" s="6"/>
      <c r="D634" s="6"/>
    </row>
    <row r="635">
      <c r="A635" s="19"/>
      <c r="B635" s="19"/>
      <c r="C635" s="6"/>
      <c r="D635" s="6"/>
    </row>
    <row r="636">
      <c r="A636" s="19"/>
      <c r="B636" s="19"/>
      <c r="C636" s="6"/>
      <c r="D636" s="6"/>
    </row>
    <row r="637">
      <c r="A637" s="19"/>
      <c r="B637" s="19"/>
      <c r="C637" s="6"/>
      <c r="D637" s="6"/>
    </row>
    <row r="638">
      <c r="A638" s="19"/>
      <c r="B638" s="19"/>
      <c r="C638" s="6"/>
      <c r="D638" s="6"/>
    </row>
    <row r="639">
      <c r="A639" s="19"/>
      <c r="B639" s="19"/>
      <c r="C639" s="6"/>
      <c r="D639" s="6"/>
    </row>
    <row r="640">
      <c r="A640" s="19"/>
      <c r="B640" s="19"/>
      <c r="C640" s="6"/>
      <c r="D640" s="6"/>
    </row>
    <row r="641">
      <c r="A641" s="19"/>
      <c r="B641" s="19"/>
      <c r="C641" s="4"/>
      <c r="D641" s="4"/>
    </row>
    <row r="642">
      <c r="A642" s="19"/>
      <c r="B642" s="19"/>
      <c r="C642" s="6"/>
      <c r="D642" s="6"/>
    </row>
    <row r="643">
      <c r="A643" s="19"/>
      <c r="B643" s="19"/>
      <c r="C643" s="6"/>
      <c r="D643" s="6"/>
    </row>
    <row r="644">
      <c r="A644" s="19"/>
      <c r="B644" s="19"/>
      <c r="C644" s="6"/>
      <c r="D644" s="6"/>
    </row>
    <row r="645">
      <c r="A645" s="19"/>
      <c r="B645" s="19"/>
      <c r="C645" s="6"/>
      <c r="D645" s="6"/>
    </row>
    <row r="646">
      <c r="A646" s="19"/>
      <c r="B646" s="19"/>
      <c r="C646" s="6"/>
      <c r="D646" s="6"/>
    </row>
    <row r="647">
      <c r="A647" s="19"/>
      <c r="B647" s="19"/>
      <c r="C647" s="6"/>
      <c r="D647" s="6"/>
    </row>
    <row r="648">
      <c r="A648" s="19"/>
      <c r="B648" s="19"/>
      <c r="C648" s="6"/>
      <c r="D648" s="6"/>
    </row>
    <row r="649">
      <c r="A649" s="19"/>
      <c r="B649" s="19"/>
      <c r="C649" s="6"/>
      <c r="D649" s="6"/>
    </row>
    <row r="650">
      <c r="A650" s="19"/>
      <c r="B650" s="19"/>
      <c r="C650" s="6"/>
      <c r="D650" s="6"/>
    </row>
    <row r="651">
      <c r="A651" s="19"/>
      <c r="B651" s="19"/>
      <c r="C651" s="6"/>
      <c r="D651" s="6"/>
    </row>
    <row r="652">
      <c r="A652" s="19"/>
      <c r="B652" s="19"/>
      <c r="C652" s="6"/>
      <c r="D652" s="6"/>
    </row>
    <row r="653">
      <c r="A653" s="19"/>
      <c r="B653" s="19"/>
      <c r="C653" s="6"/>
      <c r="D653" s="6"/>
    </row>
    <row r="654">
      <c r="A654" s="19"/>
      <c r="B654" s="19"/>
      <c r="C654" s="6"/>
      <c r="D654" s="6"/>
    </row>
    <row r="655">
      <c r="A655" s="19"/>
      <c r="B655" s="19"/>
      <c r="C655" s="6"/>
      <c r="D655" s="6"/>
    </row>
    <row r="656">
      <c r="A656" s="19"/>
      <c r="B656" s="19"/>
      <c r="C656" s="6"/>
      <c r="D656" s="6"/>
    </row>
    <row r="657">
      <c r="A657" s="19"/>
      <c r="B657" s="19"/>
      <c r="C657" s="6"/>
      <c r="D657" s="6"/>
    </row>
    <row r="658">
      <c r="A658" s="19"/>
      <c r="B658" s="19"/>
      <c r="C658" s="6"/>
      <c r="D658" s="6"/>
    </row>
    <row r="659">
      <c r="A659" s="19"/>
      <c r="B659" s="19"/>
      <c r="C659" s="6"/>
      <c r="D659" s="6"/>
    </row>
    <row r="660">
      <c r="A660" s="19"/>
      <c r="B660" s="19"/>
      <c r="C660" s="6"/>
      <c r="D660" s="6"/>
    </row>
    <row r="661">
      <c r="A661" s="19"/>
      <c r="B661" s="19"/>
      <c r="C661" s="4"/>
      <c r="D661" s="4"/>
    </row>
    <row r="662">
      <c r="A662" s="19"/>
      <c r="B662" s="19"/>
      <c r="C662" s="6"/>
      <c r="D662" s="6"/>
    </row>
    <row r="663">
      <c r="A663" s="19"/>
      <c r="B663" s="19"/>
      <c r="C663" s="6"/>
      <c r="D663" s="6"/>
    </row>
    <row r="664">
      <c r="A664" s="19"/>
      <c r="B664" s="19"/>
      <c r="C664" s="6"/>
      <c r="D664" s="6"/>
    </row>
    <row r="665">
      <c r="A665" s="19"/>
      <c r="B665" s="19"/>
      <c r="C665" s="6"/>
      <c r="D665" s="6"/>
    </row>
    <row r="666">
      <c r="A666" s="19"/>
      <c r="B666" s="19"/>
      <c r="C666" s="6"/>
      <c r="D666" s="6"/>
    </row>
    <row r="667">
      <c r="A667" s="19"/>
      <c r="B667" s="19"/>
      <c r="C667" s="6"/>
      <c r="D667" s="6"/>
    </row>
    <row r="668">
      <c r="A668" s="19"/>
      <c r="B668" s="19"/>
      <c r="C668" s="6"/>
      <c r="D668" s="6"/>
    </row>
    <row r="669">
      <c r="A669" s="19"/>
      <c r="B669" s="19"/>
      <c r="C669" s="6"/>
      <c r="D669" s="6"/>
    </row>
    <row r="670">
      <c r="A670" s="19"/>
      <c r="B670" s="19"/>
      <c r="C670" s="6"/>
      <c r="D670" s="6"/>
    </row>
    <row r="671">
      <c r="A671" s="19"/>
      <c r="B671" s="19"/>
      <c r="C671" s="6"/>
      <c r="D671" s="6"/>
    </row>
    <row r="672">
      <c r="A672" s="19"/>
      <c r="B672" s="19"/>
      <c r="C672" s="6"/>
      <c r="D672" s="6"/>
    </row>
    <row r="673">
      <c r="A673" s="19"/>
      <c r="B673" s="19"/>
      <c r="C673" s="6"/>
      <c r="D673" s="6"/>
    </row>
    <row r="674">
      <c r="A674" s="19"/>
      <c r="B674" s="19"/>
      <c r="C674" s="6"/>
      <c r="D674" s="6"/>
    </row>
    <row r="675">
      <c r="A675" s="19"/>
      <c r="B675" s="19"/>
      <c r="C675" s="6"/>
      <c r="D675" s="6"/>
    </row>
    <row r="676">
      <c r="A676" s="19"/>
      <c r="B676" s="19"/>
      <c r="C676" s="6"/>
      <c r="D676" s="6"/>
    </row>
    <row r="677">
      <c r="A677" s="19"/>
      <c r="B677" s="19"/>
      <c r="C677" s="6"/>
      <c r="D677" s="6"/>
    </row>
    <row r="678">
      <c r="A678" s="19"/>
      <c r="B678" s="19"/>
      <c r="C678" s="6"/>
      <c r="D678" s="6"/>
    </row>
    <row r="679">
      <c r="A679" s="19"/>
      <c r="B679" s="19"/>
      <c r="C679" s="6"/>
      <c r="D679" s="6"/>
    </row>
    <row r="680">
      <c r="A680" s="19"/>
      <c r="B680" s="19"/>
      <c r="C680" s="6"/>
      <c r="D680" s="6"/>
    </row>
    <row r="681">
      <c r="A681" s="19"/>
      <c r="B681" s="19"/>
      <c r="C681" s="4"/>
      <c r="D681" s="4"/>
    </row>
    <row r="682">
      <c r="A682" s="19"/>
      <c r="B682" s="19"/>
      <c r="C682" s="6"/>
      <c r="D682" s="6"/>
    </row>
    <row r="683">
      <c r="A683" s="19"/>
      <c r="B683" s="19"/>
      <c r="C683" s="6"/>
      <c r="D683" s="6"/>
    </row>
    <row r="684">
      <c r="A684" s="19"/>
      <c r="B684" s="19"/>
      <c r="C684" s="6"/>
      <c r="D684" s="6"/>
    </row>
    <row r="685">
      <c r="A685" s="19"/>
      <c r="B685" s="19"/>
      <c r="C685" s="6"/>
      <c r="D685" s="6"/>
    </row>
    <row r="686">
      <c r="A686" s="19"/>
      <c r="B686" s="19"/>
      <c r="C686" s="6"/>
      <c r="D686" s="6"/>
    </row>
    <row r="687">
      <c r="A687" s="19"/>
      <c r="B687" s="19"/>
      <c r="C687" s="6"/>
      <c r="D687" s="6"/>
    </row>
    <row r="688">
      <c r="A688" s="19"/>
      <c r="B688" s="19"/>
      <c r="C688" s="6"/>
      <c r="D688" s="6"/>
    </row>
    <row r="689">
      <c r="A689" s="19"/>
      <c r="B689" s="19"/>
      <c r="C689" s="6"/>
      <c r="D689" s="6"/>
    </row>
    <row r="690">
      <c r="A690" s="19"/>
      <c r="B690" s="19"/>
      <c r="C690" s="6"/>
      <c r="D690" s="6"/>
    </row>
    <row r="691">
      <c r="A691" s="19"/>
      <c r="B691" s="19"/>
      <c r="C691" s="6"/>
      <c r="D691" s="6"/>
    </row>
    <row r="692">
      <c r="A692" s="19"/>
      <c r="B692" s="19"/>
      <c r="C692" s="6"/>
      <c r="D692" s="6"/>
    </row>
    <row r="693">
      <c r="A693" s="19"/>
      <c r="B693" s="19"/>
      <c r="C693" s="6"/>
      <c r="D693" s="6"/>
    </row>
    <row r="694">
      <c r="A694" s="19"/>
      <c r="B694" s="19"/>
      <c r="C694" s="6"/>
      <c r="D694" s="6"/>
    </row>
    <row r="695">
      <c r="A695" s="19"/>
      <c r="B695" s="19"/>
      <c r="C695" s="6"/>
      <c r="D695" s="6"/>
    </row>
    <row r="696">
      <c r="A696" s="19"/>
      <c r="B696" s="19"/>
      <c r="C696" s="6"/>
      <c r="D696" s="6"/>
    </row>
    <row r="697">
      <c r="A697" s="19"/>
      <c r="B697" s="19"/>
      <c r="C697" s="6"/>
      <c r="D697" s="6"/>
    </row>
    <row r="698">
      <c r="A698" s="19"/>
      <c r="B698" s="19"/>
      <c r="C698" s="6"/>
      <c r="D698" s="6"/>
    </row>
    <row r="699">
      <c r="A699" s="19"/>
      <c r="B699" s="19"/>
      <c r="C699" s="6"/>
      <c r="D699" s="6"/>
    </row>
    <row r="700">
      <c r="A700" s="19"/>
      <c r="B700" s="19"/>
      <c r="C700" s="6"/>
      <c r="D700" s="6"/>
    </row>
    <row r="701">
      <c r="A701" s="19"/>
      <c r="B701" s="19"/>
      <c r="C701" s="4"/>
      <c r="D701" s="4"/>
    </row>
    <row r="702">
      <c r="A702" s="19"/>
      <c r="B702" s="19"/>
      <c r="C702" s="6"/>
      <c r="D702" s="6"/>
    </row>
    <row r="703">
      <c r="A703" s="19"/>
      <c r="B703" s="19"/>
      <c r="C703" s="6"/>
      <c r="D703" s="6"/>
    </row>
    <row r="704">
      <c r="A704" s="19"/>
      <c r="B704" s="19"/>
      <c r="C704" s="6"/>
      <c r="D704" s="6"/>
    </row>
    <row r="705">
      <c r="A705" s="19"/>
      <c r="B705" s="19"/>
      <c r="C705" s="6"/>
      <c r="D705" s="6"/>
    </row>
    <row r="706">
      <c r="A706" s="19"/>
      <c r="B706" s="19"/>
      <c r="C706" s="6"/>
      <c r="D706" s="6"/>
    </row>
    <row r="707">
      <c r="A707" s="19"/>
      <c r="B707" s="19"/>
      <c r="C707" s="6"/>
      <c r="D707" s="6"/>
    </row>
    <row r="708">
      <c r="A708" s="19"/>
      <c r="B708" s="19"/>
      <c r="C708" s="6"/>
      <c r="D708" s="6"/>
    </row>
    <row r="709">
      <c r="A709" s="19"/>
      <c r="B709" s="19"/>
      <c r="C709" s="6"/>
      <c r="D709" s="6"/>
    </row>
    <row r="710">
      <c r="A710" s="19"/>
      <c r="B710" s="19"/>
      <c r="C710" s="6"/>
      <c r="D710" s="6"/>
    </row>
    <row r="711">
      <c r="A711" s="19"/>
      <c r="B711" s="19"/>
      <c r="C711" s="6"/>
      <c r="D711" s="6"/>
    </row>
    <row r="712">
      <c r="A712" s="19"/>
      <c r="B712" s="19"/>
      <c r="C712" s="6"/>
      <c r="D712" s="6"/>
    </row>
    <row r="713">
      <c r="A713" s="19"/>
      <c r="B713" s="19"/>
      <c r="C713" s="6"/>
      <c r="D713" s="6"/>
    </row>
    <row r="714">
      <c r="A714" s="19"/>
      <c r="B714" s="19"/>
      <c r="C714" s="6"/>
      <c r="D714" s="6"/>
    </row>
    <row r="715">
      <c r="A715" s="19"/>
      <c r="B715" s="19"/>
      <c r="C715" s="6"/>
      <c r="D715" s="6"/>
    </row>
    <row r="716">
      <c r="A716" s="19"/>
      <c r="B716" s="19"/>
      <c r="C716" s="6"/>
      <c r="D716" s="6"/>
    </row>
    <row r="717">
      <c r="A717" s="19"/>
      <c r="B717" s="19"/>
      <c r="C717" s="6"/>
      <c r="D717" s="6"/>
    </row>
    <row r="718">
      <c r="A718" s="19"/>
      <c r="B718" s="19"/>
      <c r="C718" s="6"/>
      <c r="D718" s="6"/>
    </row>
    <row r="719">
      <c r="A719" s="19"/>
      <c r="B719" s="19"/>
      <c r="C719" s="6"/>
      <c r="D719" s="6"/>
    </row>
    <row r="720">
      <c r="A720" s="19"/>
      <c r="B720" s="19"/>
      <c r="C720" s="6"/>
      <c r="D720" s="6"/>
    </row>
    <row r="721">
      <c r="A721" s="19"/>
      <c r="B721" s="19"/>
      <c r="C721" s="4"/>
      <c r="D721" s="4"/>
    </row>
    <row r="722">
      <c r="A722" s="19"/>
      <c r="B722" s="19"/>
      <c r="C722" s="6"/>
      <c r="D722" s="6"/>
    </row>
    <row r="723">
      <c r="A723" s="19"/>
      <c r="B723" s="19"/>
      <c r="C723" s="6"/>
      <c r="D723" s="6"/>
    </row>
    <row r="724">
      <c r="A724" s="19"/>
      <c r="B724" s="19"/>
      <c r="C724" s="6"/>
      <c r="D724" s="6"/>
    </row>
    <row r="725">
      <c r="A725" s="19"/>
      <c r="B725" s="19"/>
      <c r="C725" s="6"/>
      <c r="D725" s="6"/>
    </row>
    <row r="726">
      <c r="A726" s="19"/>
      <c r="B726" s="19"/>
      <c r="C726" s="6"/>
      <c r="D726" s="6"/>
    </row>
    <row r="727">
      <c r="A727" s="19"/>
      <c r="B727" s="19"/>
      <c r="C727" s="6"/>
      <c r="D727" s="6"/>
    </row>
    <row r="728">
      <c r="A728" s="19"/>
      <c r="B728" s="19"/>
      <c r="C728" s="6"/>
      <c r="D728" s="6"/>
    </row>
    <row r="729">
      <c r="A729" s="19"/>
      <c r="B729" s="19"/>
      <c r="C729" s="6"/>
      <c r="D729" s="6"/>
    </row>
    <row r="730">
      <c r="A730" s="19"/>
      <c r="B730" s="19"/>
      <c r="C730" s="6"/>
      <c r="D730" s="6"/>
    </row>
    <row r="731">
      <c r="A731" s="19"/>
      <c r="B731" s="19"/>
      <c r="C731" s="6"/>
      <c r="D731" s="6"/>
    </row>
    <row r="732">
      <c r="A732" s="19"/>
      <c r="B732" s="19"/>
      <c r="C732" s="6"/>
      <c r="D732" s="6"/>
    </row>
    <row r="733">
      <c r="A733" s="19"/>
      <c r="B733" s="19"/>
      <c r="C733" s="6"/>
      <c r="D733" s="6"/>
    </row>
    <row r="734">
      <c r="A734" s="19"/>
      <c r="B734" s="19"/>
      <c r="C734" s="6"/>
      <c r="D734" s="6"/>
    </row>
    <row r="735">
      <c r="A735" s="19"/>
      <c r="B735" s="19"/>
      <c r="C735" s="6"/>
      <c r="D735" s="6"/>
    </row>
    <row r="736">
      <c r="A736" s="19"/>
      <c r="B736" s="19"/>
      <c r="C736" s="6"/>
      <c r="D736" s="6"/>
    </row>
    <row r="737">
      <c r="A737" s="19"/>
      <c r="B737" s="19"/>
      <c r="C737" s="6"/>
      <c r="D737" s="6"/>
    </row>
    <row r="738">
      <c r="A738" s="19"/>
      <c r="B738" s="19"/>
      <c r="C738" s="6"/>
      <c r="D738" s="6"/>
    </row>
    <row r="739">
      <c r="A739" s="19"/>
      <c r="B739" s="19"/>
      <c r="C739" s="6"/>
      <c r="D739" s="6"/>
    </row>
    <row r="740">
      <c r="A740" s="19"/>
      <c r="B740" s="19"/>
      <c r="C740" s="6"/>
      <c r="D740" s="6"/>
    </row>
    <row r="741">
      <c r="A741" s="19"/>
      <c r="B741" s="19"/>
      <c r="C741" s="4"/>
      <c r="D741" s="4"/>
    </row>
    <row r="742">
      <c r="A742" s="19"/>
      <c r="B742" s="19"/>
      <c r="C742" s="6"/>
      <c r="D742" s="6"/>
    </row>
    <row r="743">
      <c r="A743" s="19"/>
      <c r="B743" s="19"/>
      <c r="C743" s="6"/>
      <c r="D743" s="6"/>
    </row>
    <row r="744">
      <c r="A744" s="19"/>
      <c r="B744" s="19"/>
      <c r="C744" s="6"/>
      <c r="D744" s="6"/>
    </row>
    <row r="745">
      <c r="A745" s="19"/>
      <c r="B745" s="19"/>
      <c r="C745" s="6"/>
      <c r="D745" s="6"/>
    </row>
    <row r="746">
      <c r="A746" s="19"/>
      <c r="B746" s="19"/>
      <c r="C746" s="6"/>
      <c r="D746" s="6"/>
    </row>
    <row r="747">
      <c r="A747" s="19"/>
      <c r="B747" s="19"/>
      <c r="C747" s="6"/>
      <c r="D747" s="6"/>
    </row>
    <row r="748">
      <c r="A748" s="19"/>
      <c r="B748" s="19"/>
      <c r="C748" s="6"/>
      <c r="D748" s="6"/>
    </row>
    <row r="749">
      <c r="A749" s="19"/>
      <c r="B749" s="19"/>
      <c r="C749" s="6"/>
      <c r="D749" s="6"/>
    </row>
    <row r="750">
      <c r="A750" s="19"/>
      <c r="B750" s="19"/>
      <c r="C750" s="6"/>
      <c r="D750" s="6"/>
    </row>
    <row r="751">
      <c r="A751" s="19"/>
      <c r="B751" s="19"/>
      <c r="C751" s="6"/>
      <c r="D751" s="6"/>
    </row>
    <row r="752">
      <c r="A752" s="19"/>
      <c r="B752" s="19"/>
      <c r="C752" s="6"/>
      <c r="D752" s="6"/>
    </row>
    <row r="753">
      <c r="A753" s="19"/>
      <c r="B753" s="19"/>
      <c r="C753" s="6"/>
      <c r="D753" s="6"/>
    </row>
    <row r="754">
      <c r="A754" s="19"/>
      <c r="B754" s="19"/>
      <c r="C754" s="6"/>
      <c r="D754" s="6"/>
    </row>
    <row r="755">
      <c r="A755" s="19"/>
      <c r="B755" s="19"/>
      <c r="C755" s="6"/>
      <c r="D755" s="6"/>
    </row>
    <row r="756">
      <c r="A756" s="19"/>
      <c r="B756" s="19"/>
      <c r="C756" s="6"/>
      <c r="D756" s="6"/>
    </row>
    <row r="757">
      <c r="A757" s="19"/>
      <c r="B757" s="19"/>
      <c r="C757" s="6"/>
      <c r="D757" s="6"/>
    </row>
    <row r="758">
      <c r="A758" s="19"/>
      <c r="B758" s="19"/>
      <c r="C758" s="6"/>
      <c r="D758" s="6"/>
    </row>
    <row r="759">
      <c r="A759" s="19"/>
      <c r="B759" s="19"/>
      <c r="C759" s="6"/>
      <c r="D759" s="6"/>
    </row>
    <row r="760">
      <c r="A760" s="19"/>
      <c r="B760" s="19"/>
      <c r="C760" s="6"/>
      <c r="D760" s="6"/>
    </row>
    <row r="761">
      <c r="A761" s="19"/>
      <c r="B761" s="19"/>
      <c r="C761" s="4"/>
      <c r="D761" s="4"/>
    </row>
    <row r="762">
      <c r="A762" s="19"/>
      <c r="B762" s="19"/>
      <c r="C762" s="6"/>
      <c r="D762" s="6"/>
    </row>
    <row r="763">
      <c r="A763" s="19"/>
      <c r="B763" s="19"/>
      <c r="C763" s="6"/>
      <c r="D763" s="6"/>
    </row>
    <row r="764">
      <c r="A764" s="19"/>
      <c r="B764" s="19"/>
      <c r="C764" s="6"/>
      <c r="D764" s="6"/>
    </row>
    <row r="765">
      <c r="A765" s="19"/>
      <c r="B765" s="19"/>
      <c r="C765" s="6"/>
      <c r="D765" s="6"/>
    </row>
    <row r="766">
      <c r="A766" s="19"/>
      <c r="B766" s="19"/>
      <c r="C766" s="6"/>
      <c r="D766" s="6"/>
    </row>
    <row r="767">
      <c r="A767" s="19"/>
      <c r="B767" s="19"/>
      <c r="C767" s="6"/>
      <c r="D767" s="6"/>
    </row>
    <row r="768">
      <c r="A768" s="19"/>
      <c r="B768" s="19"/>
      <c r="C768" s="6"/>
      <c r="D768" s="6"/>
    </row>
    <row r="769">
      <c r="A769" s="19"/>
      <c r="B769" s="19"/>
      <c r="C769" s="6"/>
      <c r="D769" s="6"/>
    </row>
    <row r="770">
      <c r="A770" s="19"/>
      <c r="B770" s="19"/>
      <c r="C770" s="6"/>
      <c r="D770" s="6"/>
    </row>
    <row r="771">
      <c r="A771" s="19"/>
      <c r="B771" s="19"/>
      <c r="C771" s="6"/>
      <c r="D771" s="6"/>
    </row>
    <row r="772">
      <c r="A772" s="19"/>
      <c r="B772" s="19"/>
      <c r="C772" s="6"/>
      <c r="D772" s="6"/>
    </row>
    <row r="773">
      <c r="A773" s="19"/>
      <c r="B773" s="19"/>
      <c r="C773" s="6"/>
      <c r="D773" s="6"/>
    </row>
    <row r="774">
      <c r="A774" s="19"/>
      <c r="B774" s="19"/>
      <c r="C774" s="6"/>
      <c r="D774" s="6"/>
    </row>
    <row r="775">
      <c r="A775" s="19"/>
      <c r="B775" s="19"/>
      <c r="C775" s="6"/>
      <c r="D775" s="6"/>
    </row>
    <row r="776">
      <c r="A776" s="19"/>
      <c r="B776" s="19"/>
      <c r="C776" s="6"/>
      <c r="D776" s="6"/>
    </row>
    <row r="777">
      <c r="A777" s="19"/>
      <c r="B777" s="19"/>
      <c r="C777" s="6"/>
      <c r="D777" s="6"/>
    </row>
    <row r="778">
      <c r="A778" s="19"/>
      <c r="B778" s="19"/>
      <c r="C778" s="6"/>
      <c r="D778" s="6"/>
    </row>
    <row r="779">
      <c r="A779" s="19"/>
      <c r="B779" s="19"/>
      <c r="C779" s="6"/>
      <c r="D779" s="6"/>
    </row>
    <row r="780">
      <c r="A780" s="19"/>
      <c r="B780" s="19"/>
      <c r="C780" s="6"/>
      <c r="D780" s="6"/>
    </row>
    <row r="781">
      <c r="A781" s="19"/>
      <c r="B781" s="19"/>
      <c r="C781" s="4"/>
      <c r="D781" s="4"/>
    </row>
    <row r="782">
      <c r="A782" s="19"/>
      <c r="B782" s="19"/>
      <c r="C782" s="6"/>
      <c r="D782" s="6"/>
    </row>
    <row r="783">
      <c r="A783" s="19"/>
      <c r="B783" s="19"/>
      <c r="C783" s="6"/>
      <c r="D783" s="6"/>
    </row>
    <row r="784">
      <c r="A784" s="19"/>
      <c r="B784" s="19"/>
      <c r="C784" s="6"/>
      <c r="D784" s="6"/>
    </row>
    <row r="785">
      <c r="A785" s="19"/>
      <c r="B785" s="19"/>
      <c r="C785" s="6"/>
      <c r="D785" s="6"/>
    </row>
    <row r="786">
      <c r="A786" s="19"/>
      <c r="B786" s="19"/>
      <c r="C786" s="6"/>
      <c r="D786" s="6"/>
    </row>
    <row r="787">
      <c r="A787" s="19"/>
      <c r="B787" s="19"/>
      <c r="C787" s="6"/>
      <c r="D787" s="6"/>
    </row>
    <row r="788">
      <c r="A788" s="19"/>
      <c r="B788" s="19"/>
      <c r="C788" s="6"/>
      <c r="D788" s="6"/>
    </row>
    <row r="789">
      <c r="A789" s="19"/>
      <c r="B789" s="19"/>
      <c r="C789" s="6"/>
      <c r="D789" s="6"/>
    </row>
    <row r="790">
      <c r="A790" s="19"/>
      <c r="B790" s="19"/>
      <c r="C790" s="6"/>
      <c r="D790" s="6"/>
    </row>
    <row r="791">
      <c r="A791" s="19"/>
      <c r="B791" s="19"/>
      <c r="C791" s="6"/>
      <c r="D791" s="6"/>
    </row>
    <row r="792">
      <c r="A792" s="19"/>
      <c r="B792" s="19"/>
      <c r="C792" s="6"/>
      <c r="D792" s="6"/>
    </row>
    <row r="793">
      <c r="A793" s="19"/>
      <c r="B793" s="19"/>
      <c r="C793" s="6"/>
      <c r="D793" s="6"/>
    </row>
    <row r="794">
      <c r="A794" s="19"/>
      <c r="B794" s="19"/>
      <c r="C794" s="6"/>
      <c r="D794" s="6"/>
    </row>
    <row r="795">
      <c r="A795" s="19"/>
      <c r="B795" s="19"/>
      <c r="C795" s="6"/>
      <c r="D795" s="6"/>
    </row>
    <row r="796">
      <c r="A796" s="19"/>
      <c r="B796" s="19"/>
      <c r="C796" s="6"/>
      <c r="D796" s="6"/>
    </row>
    <row r="797">
      <c r="A797" s="19"/>
      <c r="B797" s="19"/>
      <c r="C797" s="6"/>
      <c r="D797" s="6"/>
    </row>
    <row r="798">
      <c r="A798" s="19"/>
      <c r="B798" s="19"/>
      <c r="C798" s="6"/>
      <c r="D798" s="6"/>
    </row>
    <row r="799">
      <c r="A799" s="19"/>
      <c r="B799" s="19"/>
      <c r="C799" s="6"/>
      <c r="D799" s="6"/>
    </row>
    <row r="800">
      <c r="A800" s="19"/>
      <c r="B800" s="19"/>
      <c r="C800" s="6"/>
      <c r="D800" s="6"/>
    </row>
    <row r="801">
      <c r="A801" s="19"/>
      <c r="B801" s="19"/>
      <c r="C801" s="4"/>
      <c r="D801" s="4"/>
    </row>
    <row r="802">
      <c r="A802" s="19"/>
      <c r="B802" s="19"/>
      <c r="C802" s="6"/>
      <c r="D802" s="6"/>
    </row>
    <row r="803">
      <c r="A803" s="19"/>
      <c r="B803" s="19"/>
      <c r="C803" s="6"/>
      <c r="D803" s="6"/>
    </row>
    <row r="804">
      <c r="A804" s="19"/>
      <c r="B804" s="19"/>
      <c r="C804" s="6"/>
      <c r="D804" s="6"/>
    </row>
    <row r="805">
      <c r="A805" s="19"/>
      <c r="B805" s="19"/>
      <c r="C805" s="6"/>
      <c r="D805" s="6"/>
    </row>
    <row r="806">
      <c r="A806" s="19"/>
      <c r="B806" s="19"/>
      <c r="C806" s="6"/>
      <c r="D806" s="6"/>
    </row>
    <row r="807">
      <c r="A807" s="19"/>
      <c r="B807" s="19"/>
      <c r="C807" s="6"/>
      <c r="D807" s="6"/>
    </row>
    <row r="808">
      <c r="A808" s="19"/>
      <c r="B808" s="19"/>
      <c r="C808" s="6"/>
      <c r="D808" s="6"/>
    </row>
    <row r="809">
      <c r="A809" s="19"/>
      <c r="B809" s="19"/>
      <c r="C809" s="6"/>
      <c r="D809" s="6"/>
    </row>
    <row r="810">
      <c r="A810" s="19"/>
      <c r="B810" s="19"/>
      <c r="C810" s="6"/>
      <c r="D810" s="6"/>
    </row>
    <row r="811">
      <c r="A811" s="19"/>
      <c r="B811" s="19"/>
      <c r="C811" s="6"/>
      <c r="D811" s="6"/>
    </row>
    <row r="812">
      <c r="A812" s="19"/>
      <c r="B812" s="19"/>
      <c r="C812" s="6"/>
      <c r="D812" s="6"/>
    </row>
    <row r="813">
      <c r="A813" s="19"/>
      <c r="B813" s="19"/>
      <c r="C813" s="6"/>
      <c r="D813" s="6"/>
    </row>
    <row r="814">
      <c r="A814" s="19"/>
      <c r="B814" s="19"/>
      <c r="C814" s="6"/>
      <c r="D814" s="6"/>
    </row>
    <row r="815">
      <c r="A815" s="19"/>
      <c r="B815" s="19"/>
      <c r="C815" s="6"/>
      <c r="D815" s="6"/>
    </row>
    <row r="816">
      <c r="A816" s="19"/>
      <c r="B816" s="19"/>
      <c r="C816" s="6"/>
      <c r="D816" s="6"/>
    </row>
    <row r="817">
      <c r="A817" s="19"/>
      <c r="B817" s="19"/>
      <c r="C817" s="6"/>
      <c r="D817" s="6"/>
    </row>
    <row r="818">
      <c r="A818" s="19"/>
      <c r="B818" s="19"/>
      <c r="C818" s="6"/>
      <c r="D818" s="6"/>
    </row>
    <row r="819">
      <c r="A819" s="19"/>
      <c r="B819" s="19"/>
      <c r="C819" s="6"/>
      <c r="D819" s="6"/>
    </row>
    <row r="820">
      <c r="A820" s="19"/>
      <c r="B820" s="19"/>
      <c r="C820" s="6"/>
      <c r="D820" s="6"/>
    </row>
    <row r="821">
      <c r="A821" s="19"/>
      <c r="B821" s="19"/>
      <c r="C821" s="4"/>
      <c r="D821" s="4"/>
    </row>
    <row r="822">
      <c r="A822" s="19"/>
      <c r="B822" s="19"/>
      <c r="C822" s="6"/>
      <c r="D822" s="6"/>
    </row>
    <row r="823">
      <c r="A823" s="19"/>
      <c r="B823" s="19"/>
      <c r="C823" s="6"/>
      <c r="D823" s="6"/>
    </row>
    <row r="824">
      <c r="A824" s="19"/>
      <c r="B824" s="19"/>
      <c r="C824" s="6"/>
      <c r="D824" s="6"/>
    </row>
    <row r="825">
      <c r="A825" s="19"/>
      <c r="B825" s="19"/>
      <c r="C825" s="6"/>
      <c r="D825" s="6"/>
    </row>
    <row r="826">
      <c r="A826" s="19"/>
      <c r="B826" s="19"/>
      <c r="C826" s="6"/>
      <c r="D826" s="6"/>
    </row>
    <row r="827">
      <c r="A827" s="19"/>
      <c r="B827" s="19"/>
      <c r="C827" s="6"/>
      <c r="D827" s="6"/>
    </row>
    <row r="828">
      <c r="A828" s="19"/>
      <c r="B828" s="19"/>
      <c r="C828" s="6"/>
      <c r="D828" s="6"/>
    </row>
    <row r="829">
      <c r="A829" s="19"/>
      <c r="B829" s="19"/>
      <c r="C829" s="6"/>
      <c r="D829" s="6"/>
    </row>
    <row r="830">
      <c r="A830" s="19"/>
      <c r="B830" s="19"/>
      <c r="C830" s="6"/>
      <c r="D830" s="6"/>
    </row>
    <row r="831">
      <c r="A831" s="19"/>
      <c r="B831" s="19"/>
      <c r="C831" s="6"/>
      <c r="D831" s="6"/>
    </row>
    <row r="832">
      <c r="A832" s="19"/>
      <c r="B832" s="19"/>
      <c r="C832" s="6"/>
      <c r="D832" s="6"/>
    </row>
    <row r="833">
      <c r="A833" s="19"/>
      <c r="B833" s="19"/>
      <c r="C833" s="6"/>
      <c r="D833" s="6"/>
    </row>
    <row r="834">
      <c r="A834" s="19"/>
      <c r="B834" s="19"/>
      <c r="C834" s="6"/>
      <c r="D834" s="6"/>
    </row>
    <row r="835">
      <c r="A835" s="19"/>
      <c r="B835" s="19"/>
      <c r="C835" s="6"/>
      <c r="D835" s="6"/>
    </row>
    <row r="836">
      <c r="A836" s="19"/>
      <c r="B836" s="19"/>
      <c r="C836" s="6"/>
      <c r="D836" s="6"/>
    </row>
    <row r="837">
      <c r="A837" s="19"/>
      <c r="B837" s="19"/>
      <c r="C837" s="6"/>
      <c r="D837" s="6"/>
    </row>
    <row r="838">
      <c r="A838" s="19"/>
      <c r="B838" s="19"/>
      <c r="C838" s="6"/>
      <c r="D838" s="6"/>
    </row>
    <row r="839">
      <c r="A839" s="19"/>
      <c r="B839" s="19"/>
      <c r="C839" s="6"/>
      <c r="D839" s="6"/>
    </row>
    <row r="840">
      <c r="A840" s="19"/>
      <c r="B840" s="19"/>
      <c r="C840" s="6"/>
      <c r="D840" s="6"/>
    </row>
    <row r="841">
      <c r="A841" s="19"/>
      <c r="B841" s="19"/>
      <c r="C841" s="4"/>
      <c r="D841" s="4"/>
    </row>
    <row r="842">
      <c r="A842" s="19"/>
      <c r="B842" s="19"/>
      <c r="C842" s="6"/>
      <c r="D842" s="6"/>
    </row>
    <row r="843">
      <c r="A843" s="19"/>
      <c r="B843" s="19"/>
      <c r="C843" s="6"/>
      <c r="D843" s="6"/>
    </row>
    <row r="844">
      <c r="A844" s="19"/>
      <c r="B844" s="19"/>
      <c r="C844" s="6"/>
      <c r="D844" s="6"/>
    </row>
    <row r="845">
      <c r="A845" s="19"/>
      <c r="B845" s="19"/>
      <c r="C845" s="6"/>
      <c r="D845" s="6"/>
    </row>
    <row r="846">
      <c r="A846" s="19"/>
      <c r="B846" s="19"/>
      <c r="C846" s="6"/>
      <c r="D846" s="6"/>
    </row>
    <row r="847">
      <c r="A847" s="19"/>
      <c r="B847" s="19"/>
      <c r="C847" s="6"/>
      <c r="D847" s="6"/>
    </row>
    <row r="848">
      <c r="A848" s="19"/>
      <c r="B848" s="19"/>
      <c r="C848" s="6"/>
      <c r="D848" s="6"/>
    </row>
    <row r="849">
      <c r="A849" s="19"/>
      <c r="B849" s="19"/>
      <c r="C849" s="6"/>
      <c r="D849" s="6"/>
    </row>
    <row r="850">
      <c r="A850" s="19"/>
      <c r="B850" s="19"/>
      <c r="C850" s="6"/>
      <c r="D850" s="6"/>
    </row>
    <row r="851">
      <c r="A851" s="19"/>
      <c r="B851" s="19"/>
      <c r="C851" s="6"/>
      <c r="D851" s="6"/>
    </row>
    <row r="852">
      <c r="A852" s="19"/>
      <c r="B852" s="19"/>
      <c r="C852" s="6"/>
      <c r="D852" s="6"/>
    </row>
    <row r="853">
      <c r="A853" s="19"/>
      <c r="B853" s="19"/>
      <c r="C853" s="6"/>
      <c r="D853" s="6"/>
    </row>
    <row r="854">
      <c r="A854" s="19"/>
      <c r="B854" s="19"/>
      <c r="C854" s="6"/>
      <c r="D854" s="6"/>
    </row>
    <row r="855">
      <c r="A855" s="19"/>
      <c r="B855" s="19"/>
      <c r="C855" s="6"/>
      <c r="D855" s="6"/>
    </row>
    <row r="856">
      <c r="A856" s="19"/>
      <c r="B856" s="19"/>
      <c r="C856" s="6"/>
      <c r="D856" s="6"/>
    </row>
    <row r="857">
      <c r="A857" s="19"/>
      <c r="B857" s="19"/>
      <c r="C857" s="6"/>
      <c r="D857" s="6"/>
    </row>
    <row r="858">
      <c r="A858" s="19"/>
      <c r="B858" s="19"/>
      <c r="C858" s="6"/>
      <c r="D858" s="6"/>
    </row>
    <row r="859">
      <c r="A859" s="19"/>
      <c r="B859" s="19"/>
      <c r="C859" s="6"/>
      <c r="D859" s="6"/>
    </row>
    <row r="860">
      <c r="A860" s="19"/>
      <c r="B860" s="19"/>
      <c r="C860" s="6"/>
      <c r="D860" s="6"/>
    </row>
    <row r="861">
      <c r="A861" s="19"/>
      <c r="B861" s="19"/>
      <c r="C861" s="4"/>
      <c r="D861" s="4"/>
    </row>
    <row r="862">
      <c r="A862" s="19"/>
      <c r="B862" s="19"/>
      <c r="C862" s="6"/>
      <c r="D862" s="6"/>
    </row>
    <row r="863">
      <c r="A863" s="19"/>
      <c r="B863" s="19"/>
      <c r="C863" s="6"/>
      <c r="D863" s="6"/>
    </row>
    <row r="864">
      <c r="A864" s="19"/>
      <c r="B864" s="19"/>
      <c r="C864" s="6"/>
      <c r="D864" s="6"/>
    </row>
    <row r="865">
      <c r="A865" s="19"/>
      <c r="B865" s="19"/>
      <c r="C865" s="6"/>
      <c r="D865" s="6"/>
    </row>
    <row r="866">
      <c r="A866" s="19"/>
      <c r="B866" s="19"/>
      <c r="C866" s="6"/>
      <c r="D866" s="6"/>
    </row>
    <row r="867">
      <c r="A867" s="19"/>
      <c r="B867" s="19"/>
      <c r="C867" s="6"/>
      <c r="D867" s="6"/>
    </row>
    <row r="868">
      <c r="A868" s="19"/>
      <c r="B868" s="19"/>
      <c r="C868" s="6"/>
      <c r="D868" s="6"/>
    </row>
    <row r="869">
      <c r="A869" s="19"/>
      <c r="B869" s="19"/>
      <c r="C869" s="6"/>
      <c r="D869" s="6"/>
    </row>
    <row r="870">
      <c r="A870" s="19"/>
      <c r="B870" s="19"/>
      <c r="C870" s="6"/>
      <c r="D870" s="6"/>
    </row>
    <row r="871">
      <c r="A871" s="19"/>
      <c r="B871" s="19"/>
      <c r="C871" s="6"/>
      <c r="D871" s="6"/>
    </row>
    <row r="872">
      <c r="A872" s="19"/>
      <c r="B872" s="19"/>
      <c r="C872" s="6"/>
      <c r="D872" s="6"/>
    </row>
    <row r="873">
      <c r="A873" s="19"/>
      <c r="B873" s="19"/>
      <c r="C873" s="6"/>
      <c r="D873" s="6"/>
    </row>
    <row r="874">
      <c r="A874" s="19"/>
      <c r="B874" s="19"/>
      <c r="C874" s="6"/>
      <c r="D874" s="6"/>
    </row>
    <row r="875">
      <c r="A875" s="19"/>
      <c r="B875" s="19"/>
      <c r="C875" s="6"/>
      <c r="D875" s="6"/>
    </row>
    <row r="876">
      <c r="A876" s="19"/>
      <c r="B876" s="19"/>
      <c r="C876" s="6"/>
      <c r="D876" s="6"/>
    </row>
    <row r="877">
      <c r="A877" s="19"/>
      <c r="B877" s="19"/>
      <c r="C877" s="6"/>
      <c r="D877" s="6"/>
    </row>
    <row r="878">
      <c r="A878" s="19"/>
      <c r="B878" s="19"/>
      <c r="C878" s="6"/>
      <c r="D878" s="6"/>
    </row>
    <row r="879">
      <c r="A879" s="19"/>
      <c r="B879" s="19"/>
      <c r="C879" s="6"/>
      <c r="D879" s="6"/>
    </row>
    <row r="880">
      <c r="A880" s="19"/>
      <c r="B880" s="19"/>
      <c r="C880" s="6"/>
      <c r="D880" s="6"/>
    </row>
    <row r="881">
      <c r="A881" s="19"/>
      <c r="B881" s="19"/>
      <c r="C881" s="4"/>
      <c r="D881" s="4"/>
    </row>
    <row r="882">
      <c r="A882" s="19"/>
      <c r="B882" s="19"/>
      <c r="C882" s="6"/>
      <c r="D882" s="6"/>
    </row>
    <row r="883">
      <c r="A883" s="19"/>
      <c r="B883" s="19"/>
      <c r="C883" s="6"/>
      <c r="D883" s="6"/>
    </row>
    <row r="884">
      <c r="A884" s="19"/>
      <c r="B884" s="19"/>
      <c r="C884" s="6"/>
      <c r="D884" s="6"/>
    </row>
    <row r="885">
      <c r="A885" s="19"/>
      <c r="B885" s="19"/>
      <c r="C885" s="6"/>
      <c r="D885" s="6"/>
    </row>
    <row r="886">
      <c r="A886" s="19"/>
      <c r="B886" s="19"/>
      <c r="C886" s="6"/>
      <c r="D886" s="6"/>
    </row>
    <row r="887">
      <c r="A887" s="19"/>
      <c r="B887" s="19"/>
      <c r="C887" s="6"/>
      <c r="D887" s="6"/>
    </row>
    <row r="888">
      <c r="A888" s="19"/>
      <c r="B888" s="19"/>
      <c r="C888" s="6"/>
      <c r="D888" s="6"/>
    </row>
    <row r="889">
      <c r="A889" s="19"/>
      <c r="B889" s="19"/>
      <c r="C889" s="6"/>
      <c r="D889" s="6"/>
    </row>
    <row r="890">
      <c r="A890" s="19"/>
      <c r="B890" s="19"/>
      <c r="C890" s="6"/>
      <c r="D890" s="6"/>
    </row>
    <row r="891">
      <c r="A891" s="19"/>
      <c r="B891" s="19"/>
      <c r="C891" s="6"/>
      <c r="D891" s="6"/>
    </row>
    <row r="892">
      <c r="A892" s="19"/>
      <c r="B892" s="19"/>
      <c r="C892" s="6"/>
      <c r="D892" s="6"/>
    </row>
    <row r="893">
      <c r="A893" s="19"/>
      <c r="B893" s="19"/>
      <c r="C893" s="6"/>
      <c r="D893" s="6"/>
    </row>
    <row r="894">
      <c r="A894" s="19"/>
      <c r="B894" s="19"/>
      <c r="C894" s="6"/>
      <c r="D894" s="6"/>
    </row>
    <row r="895">
      <c r="A895" s="19"/>
      <c r="B895" s="19"/>
      <c r="C895" s="6"/>
      <c r="D895" s="6"/>
    </row>
    <row r="896">
      <c r="A896" s="19"/>
      <c r="B896" s="19"/>
      <c r="C896" s="6"/>
      <c r="D896" s="6"/>
    </row>
    <row r="897">
      <c r="A897" s="19"/>
      <c r="B897" s="19"/>
      <c r="C897" s="6"/>
      <c r="D897" s="6"/>
    </row>
    <row r="898">
      <c r="A898" s="19"/>
      <c r="B898" s="19"/>
      <c r="C898" s="6"/>
      <c r="D898" s="6"/>
    </row>
    <row r="899">
      <c r="A899" s="19"/>
      <c r="B899" s="19"/>
      <c r="C899" s="6"/>
      <c r="D899" s="6"/>
    </row>
    <row r="900">
      <c r="A900" s="19"/>
      <c r="B900" s="19"/>
      <c r="C900" s="6"/>
      <c r="D900" s="6"/>
    </row>
    <row r="901">
      <c r="A901" s="19"/>
      <c r="B901" s="19"/>
      <c r="C901" s="4"/>
      <c r="D901" s="4"/>
    </row>
    <row r="902">
      <c r="A902" s="19"/>
      <c r="B902" s="19"/>
      <c r="C902" s="6"/>
      <c r="D902" s="6"/>
    </row>
    <row r="903">
      <c r="A903" s="19"/>
      <c r="B903" s="19"/>
      <c r="C903" s="6"/>
      <c r="D903" s="6"/>
    </row>
    <row r="904">
      <c r="A904" s="19"/>
      <c r="B904" s="19"/>
      <c r="C904" s="6"/>
      <c r="D904" s="6"/>
    </row>
    <row r="905">
      <c r="A905" s="19"/>
      <c r="B905" s="19"/>
      <c r="C905" s="6"/>
      <c r="D905" s="6"/>
    </row>
    <row r="906">
      <c r="A906" s="19"/>
      <c r="B906" s="19"/>
      <c r="C906" s="6"/>
      <c r="D906" s="6"/>
    </row>
    <row r="907">
      <c r="A907" s="19"/>
      <c r="B907" s="19"/>
      <c r="C907" s="6"/>
      <c r="D907" s="6"/>
    </row>
    <row r="908">
      <c r="A908" s="19"/>
      <c r="B908" s="19"/>
      <c r="C908" s="6"/>
      <c r="D908" s="6"/>
    </row>
    <row r="909">
      <c r="A909" s="19"/>
      <c r="B909" s="19"/>
      <c r="C909" s="6"/>
      <c r="D909" s="6"/>
    </row>
    <row r="910">
      <c r="A910" s="19"/>
      <c r="B910" s="19"/>
      <c r="C910" s="6"/>
      <c r="D910" s="6"/>
    </row>
    <row r="911">
      <c r="A911" s="19"/>
      <c r="B911" s="19"/>
      <c r="C911" s="6"/>
      <c r="D911" s="6"/>
    </row>
    <row r="912">
      <c r="A912" s="19"/>
      <c r="B912" s="19"/>
      <c r="C912" s="6"/>
      <c r="D912" s="6"/>
    </row>
    <row r="913">
      <c r="A913" s="19"/>
      <c r="B913" s="19"/>
      <c r="C913" s="6"/>
      <c r="D913" s="6"/>
    </row>
    <row r="914">
      <c r="A914" s="19"/>
      <c r="B914" s="19"/>
      <c r="C914" s="6"/>
      <c r="D914" s="6"/>
    </row>
    <row r="915">
      <c r="A915" s="19"/>
      <c r="B915" s="19"/>
      <c r="C915" s="6"/>
      <c r="D915" s="6"/>
    </row>
    <row r="916">
      <c r="A916" s="19"/>
      <c r="B916" s="19"/>
      <c r="C916" s="6"/>
      <c r="D916" s="6"/>
    </row>
    <row r="917">
      <c r="A917" s="19"/>
      <c r="B917" s="19"/>
      <c r="C917" s="6"/>
      <c r="D917" s="6"/>
    </row>
    <row r="918">
      <c r="A918" s="19"/>
      <c r="B918" s="19"/>
      <c r="C918" s="6"/>
      <c r="D918" s="6"/>
    </row>
    <row r="919">
      <c r="A919" s="19"/>
      <c r="B919" s="19"/>
      <c r="C919" s="6"/>
      <c r="D919" s="6"/>
    </row>
    <row r="920">
      <c r="A920" s="19"/>
      <c r="B920" s="19"/>
      <c r="C920" s="6"/>
      <c r="D920" s="6"/>
    </row>
    <row r="921">
      <c r="A921" s="19"/>
      <c r="B921" s="19"/>
      <c r="C921" s="4"/>
      <c r="D921" s="4"/>
    </row>
    <row r="922">
      <c r="A922" s="19"/>
      <c r="B922" s="19"/>
      <c r="C922" s="6"/>
      <c r="D922" s="6"/>
    </row>
    <row r="923">
      <c r="A923" s="19"/>
      <c r="B923" s="19"/>
      <c r="C923" s="6"/>
      <c r="D923" s="6"/>
    </row>
    <row r="924">
      <c r="A924" s="19"/>
      <c r="B924" s="19"/>
      <c r="C924" s="6"/>
      <c r="D924" s="6"/>
    </row>
    <row r="925">
      <c r="A925" s="19"/>
      <c r="B925" s="19"/>
      <c r="C925" s="6"/>
      <c r="D925" s="6"/>
    </row>
    <row r="926">
      <c r="A926" s="19"/>
      <c r="B926" s="19"/>
      <c r="C926" s="6"/>
      <c r="D926" s="6"/>
    </row>
    <row r="927">
      <c r="A927" s="19"/>
      <c r="B927" s="19"/>
      <c r="C927" s="6"/>
      <c r="D927" s="6"/>
    </row>
    <row r="928">
      <c r="A928" s="19"/>
      <c r="B928" s="19"/>
      <c r="C928" s="6"/>
      <c r="D928" s="6"/>
    </row>
    <row r="929">
      <c r="A929" s="19"/>
      <c r="B929" s="19"/>
      <c r="C929" s="6"/>
      <c r="D929" s="6"/>
    </row>
    <row r="930">
      <c r="A930" s="19"/>
      <c r="B930" s="19"/>
      <c r="C930" s="6"/>
      <c r="D930" s="6"/>
    </row>
    <row r="931">
      <c r="A931" s="19"/>
      <c r="B931" s="19"/>
      <c r="C931" s="6"/>
      <c r="D931" s="6"/>
    </row>
    <row r="932">
      <c r="A932" s="19"/>
      <c r="B932" s="19"/>
      <c r="C932" s="6"/>
      <c r="D932" s="6"/>
    </row>
    <row r="933">
      <c r="A933" s="19"/>
      <c r="B933" s="19"/>
      <c r="C933" s="6"/>
      <c r="D933" s="6"/>
    </row>
    <row r="934">
      <c r="A934" s="19"/>
      <c r="B934" s="19"/>
      <c r="C934" s="6"/>
      <c r="D934" s="6"/>
    </row>
    <row r="935">
      <c r="A935" s="19"/>
      <c r="B935" s="19"/>
      <c r="C935" s="6"/>
      <c r="D935" s="6"/>
    </row>
    <row r="936">
      <c r="A936" s="19"/>
      <c r="B936" s="19"/>
      <c r="C936" s="6"/>
      <c r="D936" s="6"/>
    </row>
    <row r="937">
      <c r="A937" s="19"/>
      <c r="B937" s="19"/>
      <c r="C937" s="6"/>
      <c r="D937" s="6"/>
    </row>
    <row r="938">
      <c r="A938" s="19"/>
      <c r="B938" s="19"/>
      <c r="C938" s="6"/>
      <c r="D938" s="6"/>
    </row>
    <row r="939">
      <c r="A939" s="19"/>
      <c r="B939" s="19"/>
      <c r="C939" s="6"/>
      <c r="D939" s="6"/>
    </row>
    <row r="940">
      <c r="A940" s="19"/>
      <c r="B940" s="19"/>
      <c r="C940" s="6"/>
      <c r="D940" s="6"/>
    </row>
    <row r="941">
      <c r="A941" s="19"/>
      <c r="B941" s="19"/>
      <c r="C941" s="4"/>
      <c r="D941" s="4"/>
    </row>
    <row r="942">
      <c r="A942" s="19"/>
      <c r="B942" s="19"/>
      <c r="C942" s="6"/>
      <c r="D942" s="6"/>
    </row>
    <row r="943">
      <c r="A943" s="19"/>
      <c r="B943" s="19"/>
      <c r="C943" s="6"/>
      <c r="D943" s="6"/>
    </row>
    <row r="944">
      <c r="A944" s="19"/>
      <c r="B944" s="19"/>
      <c r="C944" s="6"/>
      <c r="D944" s="6"/>
    </row>
    <row r="945">
      <c r="A945" s="19"/>
      <c r="B945" s="19"/>
      <c r="C945" s="6"/>
      <c r="D945" s="6"/>
    </row>
    <row r="946">
      <c r="A946" s="19"/>
      <c r="B946" s="19"/>
      <c r="C946" s="6"/>
      <c r="D946" s="6"/>
    </row>
    <row r="947">
      <c r="A947" s="19"/>
      <c r="B947" s="19"/>
      <c r="C947" s="6"/>
      <c r="D947" s="6"/>
    </row>
    <row r="948">
      <c r="A948" s="19"/>
      <c r="B948" s="19"/>
      <c r="C948" s="6"/>
      <c r="D948" s="6"/>
    </row>
    <row r="949">
      <c r="A949" s="19"/>
      <c r="B949" s="19"/>
      <c r="C949" s="6"/>
      <c r="D949" s="6"/>
    </row>
    <row r="950">
      <c r="A950" s="19"/>
      <c r="B950" s="19"/>
      <c r="C950" s="6"/>
      <c r="D950" s="6"/>
    </row>
    <row r="951">
      <c r="A951" s="19"/>
      <c r="B951" s="19"/>
      <c r="C951" s="6"/>
      <c r="D951" s="6"/>
    </row>
    <row r="952">
      <c r="A952" s="19"/>
      <c r="B952" s="19"/>
      <c r="C952" s="6"/>
      <c r="D952" s="6"/>
    </row>
    <row r="953">
      <c r="A953" s="19"/>
      <c r="B953" s="19"/>
      <c r="C953" s="6"/>
      <c r="D953" s="6"/>
    </row>
    <row r="954">
      <c r="A954" s="19"/>
      <c r="B954" s="19"/>
      <c r="C954" s="6"/>
      <c r="D954" s="6"/>
    </row>
    <row r="955">
      <c r="A955" s="19"/>
      <c r="B955" s="19"/>
      <c r="C955" s="6"/>
      <c r="D955" s="6"/>
    </row>
    <row r="956">
      <c r="A956" s="19"/>
      <c r="B956" s="19"/>
      <c r="C956" s="6"/>
      <c r="D956" s="6"/>
    </row>
    <row r="957">
      <c r="A957" s="19"/>
      <c r="B957" s="19"/>
      <c r="C957" s="6"/>
      <c r="D957" s="6"/>
    </row>
    <row r="958">
      <c r="A958" s="19"/>
      <c r="B958" s="19"/>
      <c r="C958" s="6"/>
      <c r="D958" s="6"/>
    </row>
    <row r="959">
      <c r="A959" s="19"/>
      <c r="B959" s="19"/>
      <c r="C959" s="6"/>
      <c r="D959" s="6"/>
    </row>
    <row r="960">
      <c r="A960" s="19"/>
      <c r="B960" s="19"/>
      <c r="C960" s="6"/>
      <c r="D960" s="6"/>
    </row>
    <row r="961">
      <c r="A961" s="19"/>
      <c r="B961" s="19"/>
      <c r="C961" s="4"/>
      <c r="D961" s="4"/>
    </row>
    <row r="962">
      <c r="A962" s="19"/>
      <c r="B962" s="19"/>
      <c r="C962" s="6"/>
      <c r="D962" s="6"/>
    </row>
    <row r="963">
      <c r="A963" s="19"/>
      <c r="B963" s="19"/>
      <c r="C963" s="6"/>
      <c r="D963" s="6"/>
    </row>
    <row r="964">
      <c r="A964" s="19"/>
      <c r="B964" s="19"/>
      <c r="C964" s="6"/>
      <c r="D964" s="6"/>
    </row>
    <row r="965">
      <c r="A965" s="19"/>
      <c r="B965" s="19"/>
      <c r="C965" s="6"/>
      <c r="D965" s="6"/>
    </row>
    <row r="966">
      <c r="A966" s="19"/>
      <c r="B966" s="19"/>
      <c r="C966" s="6"/>
      <c r="D966" s="6"/>
    </row>
    <row r="967">
      <c r="A967" s="19"/>
      <c r="B967" s="19"/>
      <c r="C967" s="6"/>
      <c r="D967" s="6"/>
    </row>
    <row r="968">
      <c r="A968" s="19"/>
      <c r="B968" s="19"/>
      <c r="C968" s="6"/>
      <c r="D968" s="6"/>
    </row>
    <row r="969">
      <c r="A969" s="19"/>
      <c r="B969" s="19"/>
      <c r="C969" s="6"/>
      <c r="D969" s="6"/>
    </row>
    <row r="970">
      <c r="A970" s="19"/>
      <c r="B970" s="19"/>
      <c r="C970" s="6"/>
      <c r="D970" s="6"/>
    </row>
    <row r="971">
      <c r="A971" s="19"/>
      <c r="B971" s="19"/>
      <c r="C971" s="6"/>
      <c r="D971" s="6"/>
    </row>
    <row r="972">
      <c r="A972" s="19"/>
      <c r="B972" s="19"/>
      <c r="C972" s="6"/>
      <c r="D972" s="6"/>
    </row>
    <row r="973">
      <c r="A973" s="19"/>
      <c r="B973" s="19"/>
      <c r="C973" s="6"/>
      <c r="D973" s="6"/>
    </row>
    <row r="974">
      <c r="A974" s="19"/>
      <c r="B974" s="19"/>
      <c r="C974" s="6"/>
      <c r="D974" s="6"/>
    </row>
    <row r="975">
      <c r="A975" s="19"/>
      <c r="B975" s="19"/>
      <c r="C975" s="6"/>
      <c r="D975" s="6"/>
    </row>
    <row r="976">
      <c r="A976" s="19"/>
      <c r="B976" s="19"/>
      <c r="C976" s="6"/>
      <c r="D976" s="6"/>
    </row>
    <row r="977">
      <c r="A977" s="19"/>
      <c r="B977" s="19"/>
      <c r="C977" s="6"/>
      <c r="D977" s="6"/>
    </row>
    <row r="978">
      <c r="A978" s="19"/>
      <c r="B978" s="19"/>
      <c r="C978" s="6"/>
      <c r="D978" s="6"/>
    </row>
    <row r="979">
      <c r="A979" s="19"/>
      <c r="B979" s="19"/>
      <c r="C979" s="6"/>
      <c r="D979" s="6"/>
    </row>
    <row r="980">
      <c r="A980" s="19"/>
      <c r="B980" s="19"/>
      <c r="C980" s="6"/>
      <c r="D980" s="6"/>
    </row>
    <row r="981">
      <c r="A981" s="19"/>
      <c r="B981" s="19"/>
      <c r="C981" s="4"/>
      <c r="D981" s="4"/>
    </row>
    <row r="982">
      <c r="A982" s="19"/>
      <c r="B982" s="19"/>
      <c r="C982" s="6"/>
      <c r="D982" s="6"/>
    </row>
    <row r="983">
      <c r="A983" s="19"/>
      <c r="B983" s="19"/>
      <c r="C983" s="6"/>
      <c r="D983" s="6"/>
    </row>
    <row r="984">
      <c r="A984" s="19"/>
      <c r="B984" s="19"/>
      <c r="C984" s="6"/>
      <c r="D984" s="6"/>
    </row>
    <row r="985">
      <c r="A985" s="19"/>
      <c r="B985" s="19"/>
      <c r="C985" s="6"/>
      <c r="D985" s="6"/>
    </row>
    <row r="986">
      <c r="A986" s="19"/>
      <c r="B986" s="19"/>
      <c r="C986" s="6"/>
      <c r="D986" s="6"/>
    </row>
    <row r="987">
      <c r="A987" s="19"/>
      <c r="B987" s="19"/>
      <c r="C987" s="6"/>
      <c r="D987" s="6"/>
    </row>
    <row r="988">
      <c r="A988" s="19"/>
      <c r="B988" s="19"/>
      <c r="C988" s="6"/>
      <c r="D988" s="6"/>
    </row>
    <row r="989">
      <c r="A989" s="19"/>
      <c r="B989" s="19"/>
      <c r="C989" s="6"/>
      <c r="D989" s="6"/>
    </row>
    <row r="990">
      <c r="A990" s="19"/>
      <c r="B990" s="19"/>
      <c r="C990" s="6"/>
      <c r="D990" s="6"/>
    </row>
    <row r="991">
      <c r="A991" s="19"/>
      <c r="B991" s="19"/>
      <c r="C991" s="6"/>
      <c r="D991" s="6"/>
    </row>
    <row r="992">
      <c r="A992" s="19"/>
      <c r="B992" s="19"/>
      <c r="C992" s="6"/>
      <c r="D992" s="6"/>
    </row>
    <row r="993">
      <c r="A993" s="19"/>
      <c r="B993" s="19"/>
      <c r="C993" s="6"/>
      <c r="D993" s="6"/>
    </row>
    <row r="994">
      <c r="A994" s="19"/>
      <c r="B994" s="19"/>
      <c r="C994" s="6"/>
      <c r="D994" s="6"/>
    </row>
    <row r="995">
      <c r="A995" s="19"/>
      <c r="B995" s="19"/>
      <c r="C995" s="6"/>
      <c r="D995" s="6"/>
    </row>
    <row r="996">
      <c r="A996" s="19"/>
      <c r="B996" s="19"/>
      <c r="C996" s="6"/>
      <c r="D996" s="6"/>
    </row>
    <row r="997">
      <c r="A997" s="19"/>
      <c r="B997" s="19"/>
      <c r="C997" s="6"/>
      <c r="D997" s="6"/>
    </row>
    <row r="998">
      <c r="A998" s="19"/>
      <c r="B998" s="19"/>
      <c r="C998" s="6"/>
      <c r="D998" s="6"/>
    </row>
    <row r="999">
      <c r="A999" s="19"/>
      <c r="B999" s="19"/>
      <c r="C999" s="6"/>
      <c r="D999" s="6"/>
    </row>
    <row r="1000">
      <c r="A1000" s="19"/>
      <c r="B1000" s="19"/>
      <c r="C1000" s="6"/>
      <c r="D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7.0"/>
    <col customWidth="1" min="4" max="4" width="13.13"/>
    <col customWidth="1" min="6" max="6" width="13.5"/>
  </cols>
  <sheetData>
    <row r="1">
      <c r="A1" s="11" t="s">
        <v>0</v>
      </c>
      <c r="B1" s="11" t="s">
        <v>8</v>
      </c>
      <c r="C1" s="4" t="s">
        <v>9</v>
      </c>
      <c r="D1" s="4" t="s">
        <v>10</v>
      </c>
      <c r="E1" s="12" t="s">
        <v>11</v>
      </c>
      <c r="F1" s="12" t="s">
        <v>12</v>
      </c>
    </row>
    <row r="2">
      <c r="A2" s="5">
        <v>44929.0</v>
      </c>
      <c r="B2" s="11">
        <v>109.763409351566</v>
      </c>
      <c r="C2" s="6">
        <v>106.510002</v>
      </c>
      <c r="D2" s="13">
        <f t="shared" ref="D2:D11" si="1">B2-C2</f>
        <v>3.253407352</v>
      </c>
      <c r="E2" s="12">
        <f t="shared" ref="E2:E11" si="2">ABS(D2)</f>
        <v>3.253407352</v>
      </c>
      <c r="F2" s="12">
        <f t="shared" ref="F2:F11" si="3">E2/C2</f>
        <v>0.03054555714</v>
      </c>
      <c r="H2" s="14"/>
    </row>
    <row r="3">
      <c r="A3" s="5">
        <v>44930.0</v>
      </c>
      <c r="B3" s="11">
        <v>104.83336107623</v>
      </c>
      <c r="C3" s="6">
        <v>106.82</v>
      </c>
      <c r="D3" s="13">
        <f t="shared" si="1"/>
        <v>-1.986638924</v>
      </c>
      <c r="E3" s="12">
        <f t="shared" si="2"/>
        <v>1.986638924</v>
      </c>
      <c r="F3" s="12">
        <f t="shared" si="3"/>
        <v>0.01859800528</v>
      </c>
      <c r="H3" s="14"/>
    </row>
    <row r="4">
      <c r="A4" s="5">
        <v>44931.0</v>
      </c>
      <c r="B4" s="11">
        <v>106.38214976431</v>
      </c>
      <c r="C4" s="6">
        <v>109.209999</v>
      </c>
      <c r="D4" s="13">
        <f t="shared" si="1"/>
        <v>-2.827849236</v>
      </c>
      <c r="E4" s="12">
        <f t="shared" si="2"/>
        <v>2.827849236</v>
      </c>
      <c r="F4" s="12">
        <f t="shared" si="3"/>
        <v>0.02589368429</v>
      </c>
      <c r="H4" s="14"/>
    </row>
    <row r="5">
      <c r="A5" s="5">
        <v>44932.0</v>
      </c>
      <c r="B5" s="11">
        <v>110.03295408996</v>
      </c>
      <c r="C5" s="6">
        <v>110.529999</v>
      </c>
      <c r="D5" s="13">
        <f t="shared" si="1"/>
        <v>-0.49704491</v>
      </c>
      <c r="E5" s="12">
        <f t="shared" si="2"/>
        <v>0.49704491</v>
      </c>
      <c r="F5" s="12">
        <f t="shared" si="3"/>
        <v>0.004496923139</v>
      </c>
      <c r="H5" s="14"/>
    </row>
    <row r="6">
      <c r="A6" s="5">
        <v>44935.0</v>
      </c>
      <c r="B6" s="11">
        <v>111.52657933988</v>
      </c>
      <c r="C6" s="6">
        <v>108.470001</v>
      </c>
      <c r="D6" s="13">
        <f t="shared" si="1"/>
        <v>3.05657834</v>
      </c>
      <c r="E6" s="12">
        <f t="shared" si="2"/>
        <v>3.05657834</v>
      </c>
      <c r="F6" s="12">
        <f t="shared" si="3"/>
        <v>0.02817902011</v>
      </c>
      <c r="H6" s="14"/>
    </row>
    <row r="7">
      <c r="A7" s="5">
        <v>44936.0</v>
      </c>
      <c r="B7" s="11">
        <v>109.77402654077</v>
      </c>
      <c r="C7" s="6">
        <v>110.089996</v>
      </c>
      <c r="D7" s="13">
        <f t="shared" si="1"/>
        <v>-0.3159694592</v>
      </c>
      <c r="E7" s="12">
        <f t="shared" si="2"/>
        <v>0.3159694592</v>
      </c>
      <c r="F7" s="12">
        <f t="shared" si="3"/>
        <v>0.002870101469</v>
      </c>
      <c r="H7" s="14"/>
    </row>
    <row r="8">
      <c r="A8" s="5">
        <v>44937.0</v>
      </c>
      <c r="B8" s="11">
        <v>110.91580596712</v>
      </c>
      <c r="C8" s="6">
        <v>111.370003</v>
      </c>
      <c r="D8" s="13">
        <f t="shared" si="1"/>
        <v>-0.4541970329</v>
      </c>
      <c r="E8" s="12">
        <f t="shared" si="2"/>
        <v>0.4541970329</v>
      </c>
      <c r="F8" s="12">
        <f t="shared" si="3"/>
        <v>0.004078270815</v>
      </c>
    </row>
    <row r="9">
      <c r="A9" s="5">
        <v>44938.0</v>
      </c>
      <c r="B9" s="11">
        <v>111.75484973378</v>
      </c>
      <c r="C9" s="6">
        <v>113.220001</v>
      </c>
      <c r="D9" s="13">
        <f t="shared" si="1"/>
        <v>-1.465151266</v>
      </c>
      <c r="E9" s="12">
        <f t="shared" si="2"/>
        <v>1.465151266</v>
      </c>
      <c r="F9" s="12">
        <f t="shared" si="3"/>
        <v>0.01294074592</v>
      </c>
    </row>
    <row r="10">
      <c r="A10" s="5">
        <v>44939.0</v>
      </c>
      <c r="B10" s="11">
        <v>113.08384034223</v>
      </c>
      <c r="C10" s="6">
        <v>113.150002</v>
      </c>
      <c r="D10" s="13">
        <f t="shared" si="1"/>
        <v>-0.06616165777</v>
      </c>
      <c r="E10" s="12">
        <f t="shared" si="2"/>
        <v>0.06616165777</v>
      </c>
      <c r="F10" s="12">
        <f t="shared" si="3"/>
        <v>0.0005847252019</v>
      </c>
    </row>
    <row r="11">
      <c r="A11" s="5">
        <v>44943.0</v>
      </c>
      <c r="B11" s="11">
        <v>113.28658377287</v>
      </c>
      <c r="C11" s="6">
        <v>112.93</v>
      </c>
      <c r="D11" s="13">
        <f t="shared" si="1"/>
        <v>0.3565837729</v>
      </c>
      <c r="E11" s="12">
        <f t="shared" si="2"/>
        <v>0.3565837729</v>
      </c>
      <c r="F11" s="12">
        <f t="shared" si="3"/>
        <v>0.003157564623</v>
      </c>
    </row>
    <row r="12">
      <c r="A12" s="15">
        <v>44944.0</v>
      </c>
      <c r="B12" s="16">
        <v>113.1426937308</v>
      </c>
      <c r="C12" s="17">
        <v>110.610001</v>
      </c>
      <c r="D12" s="6"/>
    </row>
    <row r="13">
      <c r="A13" s="15">
        <v>44945.0</v>
      </c>
      <c r="B13" s="16">
        <v>110.0915018116</v>
      </c>
      <c r="C13" s="17">
        <v>111.32</v>
      </c>
      <c r="D13" s="6"/>
      <c r="E13" s="12"/>
      <c r="F13" s="12"/>
      <c r="G13" s="12" t="s">
        <v>13</v>
      </c>
      <c r="H13" s="18">
        <f>AVERAGE(E2:E11)</f>
        <v>1.427958195</v>
      </c>
    </row>
    <row r="14">
      <c r="A14" s="15">
        <v>44946.0</v>
      </c>
      <c r="B14" s="16">
        <v>111.2823507259</v>
      </c>
      <c r="C14" s="17">
        <v>113.349998</v>
      </c>
      <c r="D14" s="6"/>
      <c r="F14" s="12"/>
    </row>
    <row r="15">
      <c r="A15" s="15">
        <v>44949.0</v>
      </c>
      <c r="B15" s="16">
        <v>113.5107356724</v>
      </c>
      <c r="C15" s="17">
        <v>112.760002</v>
      </c>
      <c r="D15" s="6"/>
    </row>
    <row r="16">
      <c r="A16" s="15">
        <v>44950.0</v>
      </c>
      <c r="B16" s="16">
        <v>109.1881720454</v>
      </c>
      <c r="C16" s="17">
        <v>113.809998</v>
      </c>
      <c r="D16" s="6"/>
    </row>
    <row r="17">
      <c r="A17" s="15">
        <v>44951.0</v>
      </c>
      <c r="B17" s="16">
        <v>113.2031075851</v>
      </c>
      <c r="C17" s="17">
        <v>113.209999</v>
      </c>
      <c r="D17" s="6"/>
    </row>
    <row r="18">
      <c r="A18" s="15">
        <v>44952.0</v>
      </c>
      <c r="B18" s="16">
        <v>114.4784995662</v>
      </c>
      <c r="C18" s="17">
        <v>117.760002</v>
      </c>
      <c r="D18" s="6"/>
    </row>
    <row r="19">
      <c r="A19" s="15">
        <v>44953.0</v>
      </c>
      <c r="B19" s="16">
        <v>116.7769899416</v>
      </c>
      <c r="C19" s="17">
        <v>115.610001</v>
      </c>
      <c r="D19" s="6"/>
    </row>
    <row r="20">
      <c r="A20" s="15">
        <v>44956.0</v>
      </c>
      <c r="B20" s="16">
        <v>114.887437257</v>
      </c>
      <c r="C20" s="17">
        <v>113.559998</v>
      </c>
      <c r="D20" s="6"/>
    </row>
    <row r="21">
      <c r="A21" s="19"/>
      <c r="B21" s="19"/>
      <c r="C21" s="4"/>
      <c r="D21" s="4"/>
    </row>
    <row r="22">
      <c r="A22" s="19"/>
      <c r="B22" s="19"/>
      <c r="C22" s="6"/>
      <c r="D22" s="6"/>
    </row>
    <row r="23">
      <c r="A23" s="19"/>
      <c r="B23" s="19"/>
      <c r="C23" s="6"/>
      <c r="D23" s="6"/>
    </row>
    <row r="24">
      <c r="A24" s="19"/>
      <c r="B24" s="19"/>
      <c r="C24" s="6"/>
      <c r="D24" s="6"/>
    </row>
    <row r="25">
      <c r="A25" s="19"/>
      <c r="B25" s="19"/>
      <c r="C25" s="6"/>
      <c r="D25" s="6"/>
    </row>
    <row r="26">
      <c r="A26" s="19"/>
      <c r="B26" s="19"/>
      <c r="C26" s="6"/>
      <c r="D26" s="6"/>
    </row>
    <row r="27">
      <c r="A27" s="19"/>
      <c r="B27" s="19"/>
      <c r="C27" s="6"/>
      <c r="D27" s="6"/>
    </row>
    <row r="28">
      <c r="A28" s="19"/>
      <c r="B28" s="19"/>
      <c r="C28" s="6"/>
      <c r="D28" s="6"/>
    </row>
    <row r="29">
      <c r="A29" s="19"/>
      <c r="B29" s="19"/>
      <c r="C29" s="6"/>
      <c r="D29" s="6"/>
    </row>
    <row r="30">
      <c r="A30" s="19"/>
      <c r="B30" s="19"/>
      <c r="C30" s="6"/>
      <c r="D30" s="6"/>
    </row>
    <row r="31">
      <c r="A31" s="19"/>
      <c r="B31" s="19"/>
      <c r="C31" s="6"/>
      <c r="D31" s="6"/>
    </row>
    <row r="32">
      <c r="A32" s="19"/>
      <c r="B32" s="19"/>
      <c r="C32" s="6"/>
      <c r="D32" s="6"/>
    </row>
    <row r="33">
      <c r="A33" s="19"/>
      <c r="B33" s="19"/>
      <c r="C33" s="6"/>
      <c r="D33" s="6"/>
    </row>
    <row r="34">
      <c r="A34" s="19"/>
      <c r="B34" s="19"/>
      <c r="C34" s="6"/>
      <c r="D34" s="6"/>
    </row>
    <row r="35">
      <c r="A35" s="19"/>
      <c r="B35" s="19"/>
      <c r="C35" s="6"/>
      <c r="D35" s="6"/>
    </row>
    <row r="36">
      <c r="A36" s="19"/>
      <c r="B36" s="19"/>
      <c r="C36" s="6"/>
      <c r="D36" s="6"/>
    </row>
    <row r="37">
      <c r="A37" s="19"/>
      <c r="B37" s="19"/>
      <c r="C37" s="6"/>
      <c r="D37" s="6"/>
    </row>
    <row r="38">
      <c r="A38" s="19"/>
      <c r="B38" s="19"/>
      <c r="C38" s="6"/>
      <c r="D38" s="6"/>
    </row>
    <row r="39">
      <c r="A39" s="19"/>
      <c r="B39" s="19"/>
      <c r="C39" s="6"/>
      <c r="D39" s="6"/>
    </row>
    <row r="40">
      <c r="A40" s="19"/>
      <c r="B40" s="19"/>
      <c r="C40" s="6"/>
      <c r="D40" s="6"/>
    </row>
    <row r="41">
      <c r="A41" s="19"/>
      <c r="B41" s="19"/>
      <c r="C41" s="4"/>
      <c r="D41" s="4"/>
    </row>
    <row r="42">
      <c r="A42" s="19"/>
      <c r="B42" s="19"/>
      <c r="C42" s="6"/>
      <c r="D42" s="6"/>
    </row>
    <row r="43">
      <c r="A43" s="19"/>
      <c r="B43" s="19"/>
      <c r="C43" s="6"/>
      <c r="D43" s="6"/>
    </row>
    <row r="44">
      <c r="A44" s="19"/>
      <c r="B44" s="19"/>
      <c r="C44" s="6"/>
      <c r="D44" s="6"/>
    </row>
    <row r="45">
      <c r="A45" s="19"/>
      <c r="B45" s="19"/>
      <c r="C45" s="6"/>
      <c r="D45" s="6"/>
    </row>
    <row r="46">
      <c r="A46" s="19"/>
      <c r="B46" s="19"/>
      <c r="C46" s="6"/>
      <c r="D46" s="6"/>
    </row>
    <row r="47">
      <c r="A47" s="19"/>
      <c r="B47" s="19"/>
      <c r="C47" s="6"/>
      <c r="D47" s="6"/>
    </row>
    <row r="48">
      <c r="A48" s="19"/>
      <c r="B48" s="19"/>
      <c r="C48" s="6"/>
      <c r="D48" s="6"/>
    </row>
    <row r="49">
      <c r="A49" s="19"/>
      <c r="B49" s="19"/>
      <c r="C49" s="6"/>
      <c r="D49" s="6"/>
    </row>
    <row r="50">
      <c r="A50" s="19"/>
      <c r="B50" s="19"/>
      <c r="C50" s="6"/>
      <c r="D50" s="6"/>
    </row>
    <row r="51">
      <c r="A51" s="19"/>
      <c r="B51" s="19"/>
      <c r="C51" s="6"/>
      <c r="D51" s="6"/>
    </row>
    <row r="52">
      <c r="A52" s="19"/>
      <c r="B52" s="19"/>
      <c r="C52" s="6"/>
      <c r="D52" s="6"/>
    </row>
    <row r="53">
      <c r="A53" s="19"/>
      <c r="B53" s="19"/>
      <c r="C53" s="6"/>
      <c r="D53" s="6"/>
    </row>
    <row r="54">
      <c r="A54" s="19"/>
      <c r="B54" s="19"/>
      <c r="C54" s="6"/>
      <c r="D54" s="6"/>
    </row>
    <row r="55">
      <c r="A55" s="19"/>
      <c r="B55" s="19"/>
      <c r="C55" s="6"/>
      <c r="D55" s="6"/>
    </row>
    <row r="56">
      <c r="A56" s="19"/>
      <c r="B56" s="19"/>
      <c r="C56" s="6"/>
      <c r="D56" s="6"/>
    </row>
    <row r="57">
      <c r="A57" s="19"/>
      <c r="B57" s="19"/>
      <c r="C57" s="6"/>
      <c r="D57" s="6"/>
    </row>
    <row r="58">
      <c r="A58" s="19"/>
      <c r="B58" s="19"/>
      <c r="C58" s="6"/>
      <c r="D58" s="6"/>
    </row>
    <row r="59">
      <c r="A59" s="19"/>
      <c r="B59" s="19"/>
      <c r="C59" s="6"/>
      <c r="D59" s="6"/>
    </row>
    <row r="60">
      <c r="A60" s="19"/>
      <c r="B60" s="19"/>
      <c r="C60" s="6"/>
      <c r="D60" s="6"/>
    </row>
    <row r="61">
      <c r="A61" s="19"/>
      <c r="B61" s="19"/>
      <c r="C61" s="4"/>
      <c r="D61" s="4"/>
    </row>
    <row r="62">
      <c r="A62" s="19"/>
      <c r="B62" s="19"/>
      <c r="C62" s="6"/>
      <c r="D62" s="6"/>
    </row>
    <row r="63">
      <c r="A63" s="19"/>
      <c r="B63" s="19"/>
      <c r="C63" s="6"/>
      <c r="D63" s="6"/>
    </row>
    <row r="64">
      <c r="A64" s="19"/>
      <c r="B64" s="19"/>
      <c r="C64" s="6"/>
      <c r="D64" s="6"/>
    </row>
    <row r="65">
      <c r="A65" s="19"/>
      <c r="B65" s="19"/>
      <c r="C65" s="6"/>
      <c r="D65" s="6"/>
    </row>
    <row r="66">
      <c r="A66" s="19"/>
      <c r="B66" s="19"/>
      <c r="C66" s="6"/>
      <c r="D66" s="6"/>
    </row>
    <row r="67">
      <c r="A67" s="19"/>
      <c r="B67" s="19"/>
      <c r="C67" s="6"/>
      <c r="D67" s="6"/>
    </row>
    <row r="68">
      <c r="A68" s="19"/>
      <c r="B68" s="19"/>
      <c r="C68" s="6"/>
      <c r="D68" s="6"/>
    </row>
    <row r="69">
      <c r="A69" s="19"/>
      <c r="B69" s="19"/>
      <c r="C69" s="6"/>
      <c r="D69" s="6"/>
    </row>
    <row r="70">
      <c r="A70" s="19"/>
      <c r="B70" s="19"/>
      <c r="C70" s="6"/>
      <c r="D70" s="6"/>
    </row>
    <row r="71">
      <c r="A71" s="19"/>
      <c r="B71" s="19"/>
      <c r="C71" s="6"/>
      <c r="D71" s="6"/>
    </row>
    <row r="72">
      <c r="A72" s="19"/>
      <c r="B72" s="19"/>
      <c r="C72" s="6"/>
      <c r="D72" s="6"/>
    </row>
    <row r="73">
      <c r="A73" s="19"/>
      <c r="B73" s="19"/>
      <c r="C73" s="6"/>
      <c r="D73" s="6"/>
    </row>
    <row r="74">
      <c r="A74" s="19"/>
      <c r="B74" s="19"/>
      <c r="C74" s="6"/>
      <c r="D74" s="6"/>
    </row>
    <row r="75">
      <c r="A75" s="19"/>
      <c r="B75" s="19"/>
      <c r="C75" s="6"/>
      <c r="D75" s="6"/>
    </row>
    <row r="76">
      <c r="A76" s="19"/>
      <c r="B76" s="19"/>
      <c r="C76" s="6"/>
      <c r="D76" s="6"/>
    </row>
    <row r="77">
      <c r="A77" s="19"/>
      <c r="B77" s="19"/>
      <c r="C77" s="6"/>
      <c r="D77" s="6"/>
    </row>
    <row r="78">
      <c r="A78" s="19"/>
      <c r="B78" s="19"/>
      <c r="C78" s="6"/>
      <c r="D78" s="6"/>
    </row>
    <row r="79">
      <c r="A79" s="19"/>
      <c r="B79" s="19"/>
      <c r="C79" s="6"/>
      <c r="D79" s="6"/>
    </row>
    <row r="80">
      <c r="A80" s="19"/>
      <c r="B80" s="19"/>
      <c r="C80" s="6"/>
      <c r="D80" s="6"/>
    </row>
    <row r="81">
      <c r="A81" s="19"/>
      <c r="B81" s="19"/>
      <c r="C81" s="4"/>
      <c r="D81" s="4"/>
    </row>
    <row r="82">
      <c r="A82" s="19"/>
      <c r="B82" s="19"/>
      <c r="C82" s="6"/>
      <c r="D82" s="6"/>
    </row>
    <row r="83">
      <c r="A83" s="19"/>
      <c r="B83" s="19"/>
      <c r="C83" s="6"/>
      <c r="D83" s="6"/>
    </row>
    <row r="84">
      <c r="A84" s="19"/>
      <c r="B84" s="19"/>
      <c r="C84" s="6"/>
      <c r="D84" s="6"/>
    </row>
    <row r="85">
      <c r="A85" s="19"/>
      <c r="B85" s="19"/>
      <c r="C85" s="6"/>
      <c r="D85" s="6"/>
    </row>
    <row r="86">
      <c r="A86" s="19"/>
      <c r="B86" s="19"/>
      <c r="C86" s="6"/>
      <c r="D86" s="6"/>
    </row>
    <row r="87">
      <c r="A87" s="19"/>
      <c r="B87" s="19"/>
      <c r="C87" s="6"/>
      <c r="D87" s="6"/>
    </row>
    <row r="88">
      <c r="A88" s="19"/>
      <c r="B88" s="19"/>
      <c r="C88" s="6"/>
      <c r="D88" s="6"/>
    </row>
    <row r="89">
      <c r="A89" s="19"/>
      <c r="B89" s="19"/>
      <c r="C89" s="6"/>
      <c r="D89" s="6"/>
    </row>
    <row r="90">
      <c r="A90" s="19"/>
      <c r="B90" s="19"/>
      <c r="C90" s="6"/>
      <c r="D90" s="6"/>
    </row>
    <row r="91">
      <c r="A91" s="19"/>
      <c r="B91" s="19"/>
      <c r="C91" s="6"/>
      <c r="D91" s="6"/>
    </row>
    <row r="92">
      <c r="A92" s="19"/>
      <c r="B92" s="19"/>
      <c r="C92" s="6"/>
      <c r="D92" s="6"/>
    </row>
    <row r="93">
      <c r="A93" s="19"/>
      <c r="B93" s="19"/>
      <c r="C93" s="6"/>
      <c r="D93" s="6"/>
    </row>
    <row r="94">
      <c r="A94" s="19"/>
      <c r="B94" s="19"/>
      <c r="C94" s="6"/>
      <c r="D94" s="6"/>
    </row>
    <row r="95">
      <c r="A95" s="19"/>
      <c r="B95" s="19"/>
      <c r="C95" s="6"/>
      <c r="D95" s="6"/>
    </row>
    <row r="96">
      <c r="A96" s="19"/>
      <c r="B96" s="19"/>
      <c r="C96" s="6"/>
      <c r="D96" s="6"/>
    </row>
    <row r="97">
      <c r="A97" s="19"/>
      <c r="B97" s="19"/>
      <c r="C97" s="6"/>
      <c r="D97" s="6"/>
    </row>
    <row r="98">
      <c r="A98" s="19"/>
      <c r="B98" s="19"/>
      <c r="C98" s="6"/>
      <c r="D98" s="6"/>
    </row>
    <row r="99">
      <c r="A99" s="19"/>
      <c r="B99" s="19"/>
      <c r="C99" s="6"/>
      <c r="D99" s="6"/>
    </row>
    <row r="100">
      <c r="A100" s="19"/>
      <c r="B100" s="19"/>
      <c r="C100" s="6"/>
      <c r="D100" s="6"/>
    </row>
    <row r="101">
      <c r="A101" s="19"/>
      <c r="B101" s="19"/>
      <c r="C101" s="4"/>
      <c r="D101" s="4"/>
    </row>
    <row r="102">
      <c r="A102" s="19"/>
      <c r="B102" s="19"/>
      <c r="C102" s="6"/>
      <c r="D102" s="6"/>
    </row>
    <row r="103">
      <c r="A103" s="19"/>
      <c r="B103" s="19"/>
      <c r="C103" s="6"/>
      <c r="D103" s="6"/>
    </row>
    <row r="104">
      <c r="A104" s="19"/>
      <c r="B104" s="19"/>
      <c r="C104" s="6"/>
      <c r="D104" s="6"/>
    </row>
    <row r="105">
      <c r="A105" s="19"/>
      <c r="B105" s="19"/>
      <c r="C105" s="6"/>
      <c r="D105" s="6"/>
    </row>
    <row r="106">
      <c r="A106" s="19"/>
      <c r="B106" s="19"/>
      <c r="C106" s="6"/>
      <c r="D106" s="6"/>
    </row>
    <row r="107">
      <c r="A107" s="19"/>
      <c r="B107" s="19"/>
      <c r="C107" s="6"/>
      <c r="D107" s="6"/>
    </row>
    <row r="108">
      <c r="A108" s="19"/>
      <c r="B108" s="19"/>
      <c r="C108" s="6"/>
      <c r="D108" s="6"/>
    </row>
    <row r="109">
      <c r="A109" s="19"/>
      <c r="B109" s="19"/>
      <c r="C109" s="6"/>
      <c r="D109" s="6"/>
    </row>
    <row r="110">
      <c r="A110" s="19"/>
      <c r="B110" s="19"/>
      <c r="C110" s="6"/>
      <c r="D110" s="6"/>
    </row>
    <row r="111">
      <c r="A111" s="19"/>
      <c r="B111" s="19"/>
      <c r="C111" s="6"/>
      <c r="D111" s="6"/>
    </row>
    <row r="112">
      <c r="A112" s="19"/>
      <c r="B112" s="19"/>
      <c r="C112" s="6"/>
      <c r="D112" s="6"/>
    </row>
    <row r="113">
      <c r="A113" s="19"/>
      <c r="B113" s="19"/>
      <c r="C113" s="6"/>
      <c r="D113" s="6"/>
    </row>
    <row r="114">
      <c r="A114" s="19"/>
      <c r="B114" s="19"/>
      <c r="C114" s="6"/>
      <c r="D114" s="6"/>
    </row>
    <row r="115">
      <c r="A115" s="19"/>
      <c r="B115" s="19"/>
      <c r="C115" s="6"/>
      <c r="D115" s="6"/>
    </row>
    <row r="116">
      <c r="A116" s="19"/>
      <c r="B116" s="19"/>
      <c r="C116" s="6"/>
      <c r="D116" s="6"/>
    </row>
    <row r="117">
      <c r="A117" s="19"/>
      <c r="B117" s="19"/>
      <c r="C117" s="6"/>
      <c r="D117" s="6"/>
    </row>
    <row r="118">
      <c r="A118" s="19"/>
      <c r="B118" s="19"/>
      <c r="C118" s="6"/>
      <c r="D118" s="6"/>
    </row>
    <row r="119">
      <c r="A119" s="19"/>
      <c r="B119" s="19"/>
      <c r="C119" s="6"/>
      <c r="D119" s="6"/>
    </row>
    <row r="120">
      <c r="A120" s="19"/>
      <c r="B120" s="19"/>
      <c r="C120" s="6"/>
      <c r="D120" s="6"/>
    </row>
    <row r="121">
      <c r="A121" s="19"/>
      <c r="B121" s="19"/>
      <c r="C121" s="4"/>
      <c r="D121" s="4"/>
    </row>
    <row r="122">
      <c r="A122" s="19"/>
      <c r="B122" s="19"/>
      <c r="C122" s="6"/>
      <c r="D122" s="6"/>
    </row>
    <row r="123">
      <c r="A123" s="19"/>
      <c r="B123" s="19"/>
      <c r="C123" s="6"/>
      <c r="D123" s="6"/>
    </row>
    <row r="124">
      <c r="A124" s="19"/>
      <c r="B124" s="19"/>
      <c r="C124" s="6"/>
      <c r="D124" s="6"/>
    </row>
    <row r="125">
      <c r="A125" s="19"/>
      <c r="B125" s="19"/>
      <c r="C125" s="6"/>
      <c r="D125" s="6"/>
    </row>
    <row r="126">
      <c r="A126" s="19"/>
      <c r="B126" s="19"/>
      <c r="C126" s="6"/>
      <c r="D126" s="6"/>
    </row>
    <row r="127">
      <c r="A127" s="19"/>
      <c r="B127" s="19"/>
      <c r="C127" s="6"/>
      <c r="D127" s="6"/>
    </row>
    <row r="128">
      <c r="A128" s="19"/>
      <c r="B128" s="19"/>
      <c r="C128" s="6"/>
      <c r="D128" s="6"/>
    </row>
    <row r="129">
      <c r="A129" s="19"/>
      <c r="B129" s="19"/>
      <c r="C129" s="6"/>
      <c r="D129" s="6"/>
    </row>
    <row r="130">
      <c r="A130" s="19"/>
      <c r="B130" s="19"/>
      <c r="C130" s="6"/>
      <c r="D130" s="6"/>
    </row>
    <row r="131">
      <c r="A131" s="19"/>
      <c r="B131" s="19"/>
      <c r="C131" s="6"/>
      <c r="D131" s="6"/>
    </row>
    <row r="132">
      <c r="A132" s="19"/>
      <c r="B132" s="19"/>
      <c r="C132" s="6"/>
      <c r="D132" s="6"/>
    </row>
    <row r="133">
      <c r="A133" s="19"/>
      <c r="B133" s="19"/>
      <c r="C133" s="6"/>
      <c r="D133" s="6"/>
    </row>
    <row r="134">
      <c r="A134" s="19"/>
      <c r="B134" s="19"/>
      <c r="C134" s="6"/>
      <c r="D134" s="6"/>
    </row>
    <row r="135">
      <c r="A135" s="19"/>
      <c r="B135" s="19"/>
      <c r="C135" s="6"/>
      <c r="D135" s="6"/>
    </row>
    <row r="136">
      <c r="A136" s="19"/>
      <c r="B136" s="19"/>
      <c r="C136" s="6"/>
      <c r="D136" s="6"/>
    </row>
    <row r="137">
      <c r="A137" s="19"/>
      <c r="B137" s="19"/>
      <c r="C137" s="6"/>
      <c r="D137" s="6"/>
    </row>
    <row r="138">
      <c r="A138" s="19"/>
      <c r="B138" s="19"/>
      <c r="C138" s="6"/>
      <c r="D138" s="6"/>
    </row>
    <row r="139">
      <c r="A139" s="19"/>
      <c r="B139" s="19"/>
      <c r="C139" s="6"/>
      <c r="D139" s="6"/>
    </row>
    <row r="140">
      <c r="A140" s="19"/>
      <c r="B140" s="19"/>
      <c r="C140" s="6"/>
      <c r="D140" s="6"/>
    </row>
    <row r="141">
      <c r="A141" s="19"/>
      <c r="B141" s="19"/>
      <c r="C141" s="4"/>
      <c r="D141" s="4"/>
    </row>
    <row r="142">
      <c r="A142" s="19"/>
      <c r="B142" s="19"/>
      <c r="C142" s="6"/>
      <c r="D142" s="6"/>
    </row>
    <row r="143">
      <c r="A143" s="19"/>
      <c r="B143" s="19"/>
      <c r="C143" s="6"/>
      <c r="D143" s="6"/>
    </row>
    <row r="144">
      <c r="A144" s="19"/>
      <c r="B144" s="19"/>
      <c r="C144" s="6"/>
      <c r="D144" s="6"/>
    </row>
    <row r="145">
      <c r="A145" s="19"/>
      <c r="B145" s="19"/>
      <c r="C145" s="6"/>
      <c r="D145" s="6"/>
    </row>
    <row r="146">
      <c r="A146" s="19"/>
      <c r="B146" s="19"/>
      <c r="C146" s="6"/>
      <c r="D146" s="6"/>
    </row>
    <row r="147">
      <c r="A147" s="19"/>
      <c r="B147" s="19"/>
      <c r="C147" s="6"/>
      <c r="D147" s="6"/>
    </row>
    <row r="148">
      <c r="A148" s="19"/>
      <c r="B148" s="19"/>
      <c r="C148" s="6"/>
      <c r="D148" s="6"/>
    </row>
    <row r="149">
      <c r="A149" s="19"/>
      <c r="B149" s="19"/>
      <c r="C149" s="6"/>
      <c r="D149" s="6"/>
    </row>
    <row r="150">
      <c r="A150" s="19"/>
      <c r="B150" s="19"/>
      <c r="C150" s="6"/>
      <c r="D150" s="6"/>
    </row>
    <row r="151">
      <c r="A151" s="19"/>
      <c r="B151" s="19"/>
      <c r="C151" s="6"/>
      <c r="D151" s="6"/>
    </row>
    <row r="152">
      <c r="A152" s="19"/>
      <c r="B152" s="19"/>
      <c r="C152" s="6"/>
      <c r="D152" s="6"/>
    </row>
    <row r="153">
      <c r="A153" s="19"/>
      <c r="B153" s="19"/>
      <c r="C153" s="6"/>
      <c r="D153" s="6"/>
    </row>
    <row r="154">
      <c r="A154" s="19"/>
      <c r="B154" s="19"/>
      <c r="C154" s="6"/>
      <c r="D154" s="6"/>
    </row>
    <row r="155">
      <c r="A155" s="19"/>
      <c r="B155" s="19"/>
      <c r="C155" s="6"/>
      <c r="D155" s="6"/>
    </row>
    <row r="156">
      <c r="A156" s="19"/>
      <c r="B156" s="19"/>
      <c r="C156" s="6"/>
      <c r="D156" s="6"/>
    </row>
    <row r="157">
      <c r="A157" s="19"/>
      <c r="B157" s="19"/>
      <c r="C157" s="6"/>
      <c r="D157" s="6"/>
    </row>
    <row r="158">
      <c r="A158" s="19"/>
      <c r="B158" s="19"/>
      <c r="C158" s="6"/>
      <c r="D158" s="6"/>
    </row>
    <row r="159">
      <c r="A159" s="19"/>
      <c r="B159" s="19"/>
      <c r="C159" s="6"/>
      <c r="D159" s="6"/>
    </row>
    <row r="160">
      <c r="A160" s="19"/>
      <c r="B160" s="19"/>
      <c r="C160" s="6"/>
      <c r="D160" s="6"/>
    </row>
    <row r="161">
      <c r="A161" s="19"/>
      <c r="B161" s="19"/>
      <c r="C161" s="4"/>
      <c r="D161" s="4"/>
    </row>
    <row r="162">
      <c r="A162" s="19"/>
      <c r="B162" s="19"/>
      <c r="C162" s="6"/>
      <c r="D162" s="6"/>
    </row>
    <row r="163">
      <c r="A163" s="19"/>
      <c r="B163" s="19"/>
      <c r="C163" s="6"/>
      <c r="D163" s="6"/>
    </row>
    <row r="164">
      <c r="A164" s="19"/>
      <c r="B164" s="19"/>
      <c r="C164" s="6"/>
      <c r="D164" s="6"/>
    </row>
    <row r="165">
      <c r="A165" s="19"/>
      <c r="B165" s="19"/>
      <c r="C165" s="6"/>
      <c r="D165" s="6"/>
    </row>
    <row r="166">
      <c r="A166" s="19"/>
      <c r="B166" s="19"/>
      <c r="C166" s="6"/>
      <c r="D166" s="6"/>
    </row>
    <row r="167">
      <c r="A167" s="19"/>
      <c r="B167" s="19"/>
      <c r="C167" s="6"/>
      <c r="D167" s="6"/>
    </row>
    <row r="168">
      <c r="A168" s="19"/>
      <c r="B168" s="19"/>
      <c r="C168" s="6"/>
      <c r="D168" s="6"/>
    </row>
    <row r="169">
      <c r="A169" s="19"/>
      <c r="B169" s="19"/>
      <c r="C169" s="6"/>
      <c r="D169" s="6"/>
    </row>
    <row r="170">
      <c r="A170" s="19"/>
      <c r="B170" s="19"/>
      <c r="C170" s="6"/>
      <c r="D170" s="6"/>
    </row>
    <row r="171">
      <c r="A171" s="19"/>
      <c r="B171" s="19"/>
      <c r="C171" s="6"/>
      <c r="D171" s="6"/>
    </row>
    <row r="172">
      <c r="A172" s="19"/>
      <c r="B172" s="19"/>
      <c r="C172" s="6"/>
      <c r="D172" s="6"/>
    </row>
    <row r="173">
      <c r="A173" s="19"/>
      <c r="B173" s="19"/>
      <c r="C173" s="6"/>
      <c r="D173" s="6"/>
    </row>
    <row r="174">
      <c r="A174" s="19"/>
      <c r="B174" s="19"/>
      <c r="C174" s="6"/>
      <c r="D174" s="6"/>
    </row>
    <row r="175">
      <c r="A175" s="19"/>
      <c r="B175" s="19"/>
      <c r="C175" s="6"/>
      <c r="D175" s="6"/>
    </row>
    <row r="176">
      <c r="A176" s="19"/>
      <c r="B176" s="19"/>
      <c r="C176" s="6"/>
      <c r="D176" s="6"/>
    </row>
    <row r="177">
      <c r="A177" s="19"/>
      <c r="B177" s="19"/>
      <c r="C177" s="6"/>
      <c r="D177" s="6"/>
    </row>
    <row r="178">
      <c r="A178" s="19"/>
      <c r="B178" s="19"/>
      <c r="C178" s="6"/>
      <c r="D178" s="6"/>
    </row>
    <row r="179">
      <c r="A179" s="19"/>
      <c r="B179" s="19"/>
      <c r="C179" s="6"/>
      <c r="D179" s="6"/>
    </row>
    <row r="180">
      <c r="A180" s="19"/>
      <c r="B180" s="19"/>
      <c r="C180" s="6"/>
      <c r="D180" s="6"/>
    </row>
    <row r="181">
      <c r="A181" s="19"/>
      <c r="B181" s="19"/>
      <c r="C181" s="4"/>
      <c r="D181" s="4"/>
    </row>
    <row r="182">
      <c r="A182" s="19"/>
      <c r="B182" s="19"/>
      <c r="C182" s="6"/>
      <c r="D182" s="6"/>
    </row>
    <row r="183">
      <c r="A183" s="19"/>
      <c r="B183" s="19"/>
      <c r="C183" s="6"/>
      <c r="D183" s="6"/>
    </row>
    <row r="184">
      <c r="A184" s="19"/>
      <c r="B184" s="19"/>
      <c r="C184" s="6"/>
      <c r="D184" s="6"/>
    </row>
    <row r="185">
      <c r="A185" s="19"/>
      <c r="B185" s="19"/>
      <c r="C185" s="6"/>
      <c r="D185" s="6"/>
    </row>
    <row r="186">
      <c r="A186" s="19"/>
      <c r="B186" s="19"/>
      <c r="C186" s="6"/>
      <c r="D186" s="6"/>
    </row>
    <row r="187">
      <c r="A187" s="19"/>
      <c r="B187" s="19"/>
      <c r="C187" s="6"/>
      <c r="D187" s="6"/>
    </row>
    <row r="188">
      <c r="A188" s="19"/>
      <c r="B188" s="19"/>
      <c r="C188" s="6"/>
      <c r="D188" s="6"/>
    </row>
    <row r="189">
      <c r="A189" s="19"/>
      <c r="B189" s="19"/>
      <c r="C189" s="6"/>
      <c r="D189" s="6"/>
    </row>
    <row r="190">
      <c r="A190" s="19"/>
      <c r="B190" s="19"/>
      <c r="C190" s="6"/>
      <c r="D190" s="6"/>
    </row>
    <row r="191">
      <c r="A191" s="19"/>
      <c r="B191" s="19"/>
      <c r="C191" s="6"/>
      <c r="D191" s="6"/>
    </row>
    <row r="192">
      <c r="A192" s="19"/>
      <c r="B192" s="19"/>
      <c r="C192" s="6"/>
      <c r="D192" s="6"/>
    </row>
    <row r="193">
      <c r="A193" s="19"/>
      <c r="B193" s="19"/>
      <c r="C193" s="6"/>
      <c r="D193" s="6"/>
    </row>
    <row r="194">
      <c r="A194" s="19"/>
      <c r="B194" s="19"/>
      <c r="C194" s="6"/>
      <c r="D194" s="6"/>
    </row>
    <row r="195">
      <c r="A195" s="19"/>
      <c r="B195" s="19"/>
      <c r="C195" s="6"/>
      <c r="D195" s="6"/>
    </row>
    <row r="196">
      <c r="A196" s="19"/>
      <c r="B196" s="19"/>
      <c r="C196" s="6"/>
      <c r="D196" s="6"/>
    </row>
    <row r="197">
      <c r="A197" s="19"/>
      <c r="B197" s="19"/>
      <c r="C197" s="6"/>
      <c r="D197" s="6"/>
    </row>
    <row r="198">
      <c r="A198" s="19"/>
      <c r="B198" s="19"/>
      <c r="C198" s="6"/>
      <c r="D198" s="6"/>
    </row>
    <row r="199">
      <c r="A199" s="19"/>
      <c r="B199" s="19"/>
      <c r="C199" s="6"/>
      <c r="D199" s="6"/>
    </row>
    <row r="200">
      <c r="A200" s="19"/>
      <c r="B200" s="19"/>
      <c r="C200" s="6"/>
      <c r="D200" s="6"/>
    </row>
    <row r="201">
      <c r="A201" s="19"/>
      <c r="B201" s="19"/>
      <c r="C201" s="4"/>
      <c r="D201" s="4"/>
    </row>
    <row r="202">
      <c r="A202" s="19"/>
      <c r="B202" s="19"/>
      <c r="C202" s="6"/>
      <c r="D202" s="6"/>
    </row>
    <row r="203">
      <c r="A203" s="19"/>
      <c r="B203" s="19"/>
      <c r="C203" s="6"/>
      <c r="D203" s="6"/>
    </row>
    <row r="204">
      <c r="A204" s="19"/>
      <c r="B204" s="19"/>
      <c r="C204" s="6"/>
      <c r="D204" s="6"/>
    </row>
    <row r="205">
      <c r="A205" s="19"/>
      <c r="B205" s="19"/>
      <c r="C205" s="6"/>
      <c r="D205" s="6"/>
    </row>
    <row r="206">
      <c r="A206" s="19"/>
      <c r="B206" s="19"/>
      <c r="C206" s="6"/>
      <c r="D206" s="6"/>
    </row>
    <row r="207">
      <c r="A207" s="19"/>
      <c r="B207" s="19"/>
      <c r="C207" s="6"/>
      <c r="D207" s="6"/>
    </row>
    <row r="208">
      <c r="A208" s="19"/>
      <c r="B208" s="19"/>
      <c r="C208" s="6"/>
      <c r="D208" s="6"/>
    </row>
    <row r="209">
      <c r="A209" s="19"/>
      <c r="B209" s="19"/>
      <c r="C209" s="6"/>
      <c r="D209" s="6"/>
    </row>
    <row r="210">
      <c r="A210" s="19"/>
      <c r="B210" s="19"/>
      <c r="C210" s="6"/>
      <c r="D210" s="6"/>
    </row>
    <row r="211">
      <c r="A211" s="19"/>
      <c r="B211" s="19"/>
      <c r="C211" s="6"/>
      <c r="D211" s="6"/>
    </row>
    <row r="212">
      <c r="A212" s="19"/>
      <c r="B212" s="19"/>
      <c r="C212" s="6"/>
      <c r="D212" s="6"/>
    </row>
    <row r="213">
      <c r="A213" s="19"/>
      <c r="B213" s="19"/>
      <c r="C213" s="6"/>
      <c r="D213" s="6"/>
    </row>
    <row r="214">
      <c r="A214" s="19"/>
      <c r="B214" s="19"/>
      <c r="C214" s="6"/>
      <c r="D214" s="6"/>
    </row>
    <row r="215">
      <c r="A215" s="19"/>
      <c r="B215" s="19"/>
      <c r="C215" s="6"/>
      <c r="D215" s="6"/>
    </row>
    <row r="216">
      <c r="A216" s="19"/>
      <c r="B216" s="19"/>
      <c r="C216" s="6"/>
      <c r="D216" s="6"/>
    </row>
    <row r="217">
      <c r="A217" s="19"/>
      <c r="B217" s="19"/>
      <c r="C217" s="6"/>
      <c r="D217" s="6"/>
    </row>
    <row r="218">
      <c r="A218" s="19"/>
      <c r="B218" s="19"/>
      <c r="C218" s="6"/>
      <c r="D218" s="6"/>
    </row>
    <row r="219">
      <c r="A219" s="19"/>
      <c r="B219" s="19"/>
      <c r="C219" s="6"/>
      <c r="D219" s="6"/>
    </row>
    <row r="220">
      <c r="A220" s="19"/>
      <c r="B220" s="19"/>
      <c r="C220" s="6"/>
      <c r="D220" s="6"/>
    </row>
    <row r="221">
      <c r="A221" s="19"/>
      <c r="B221" s="19"/>
      <c r="C221" s="4"/>
      <c r="D221" s="4"/>
    </row>
    <row r="222">
      <c r="A222" s="19"/>
      <c r="B222" s="19"/>
      <c r="C222" s="6"/>
      <c r="D222" s="6"/>
    </row>
    <row r="223">
      <c r="A223" s="19"/>
      <c r="B223" s="19"/>
      <c r="C223" s="6"/>
      <c r="D223" s="6"/>
    </row>
    <row r="224">
      <c r="A224" s="19"/>
      <c r="B224" s="19"/>
      <c r="C224" s="6"/>
      <c r="D224" s="6"/>
    </row>
    <row r="225">
      <c r="A225" s="19"/>
      <c r="B225" s="19"/>
      <c r="C225" s="6"/>
      <c r="D225" s="6"/>
    </row>
    <row r="226">
      <c r="A226" s="19"/>
      <c r="B226" s="19"/>
      <c r="C226" s="6"/>
      <c r="D226" s="6"/>
    </row>
    <row r="227">
      <c r="A227" s="19"/>
      <c r="B227" s="19"/>
      <c r="C227" s="6"/>
      <c r="D227" s="6"/>
    </row>
    <row r="228">
      <c r="A228" s="19"/>
      <c r="B228" s="19"/>
      <c r="C228" s="6"/>
      <c r="D228" s="6"/>
    </row>
    <row r="229">
      <c r="A229" s="19"/>
      <c r="B229" s="19"/>
      <c r="C229" s="6"/>
      <c r="D229" s="6"/>
    </row>
    <row r="230">
      <c r="A230" s="19"/>
      <c r="B230" s="19"/>
      <c r="C230" s="6"/>
      <c r="D230" s="6"/>
    </row>
    <row r="231">
      <c r="A231" s="19"/>
      <c r="B231" s="19"/>
      <c r="C231" s="6"/>
      <c r="D231" s="6"/>
    </row>
    <row r="232">
      <c r="A232" s="19"/>
      <c r="B232" s="19"/>
      <c r="C232" s="6"/>
      <c r="D232" s="6"/>
    </row>
    <row r="233">
      <c r="A233" s="19"/>
      <c r="B233" s="19"/>
      <c r="C233" s="6"/>
      <c r="D233" s="6"/>
    </row>
    <row r="234">
      <c r="A234" s="19"/>
      <c r="B234" s="19"/>
      <c r="C234" s="6"/>
      <c r="D234" s="6"/>
    </row>
    <row r="235">
      <c r="A235" s="19"/>
      <c r="B235" s="19"/>
      <c r="C235" s="6"/>
      <c r="D235" s="6"/>
    </row>
    <row r="236">
      <c r="A236" s="19"/>
      <c r="B236" s="19"/>
      <c r="C236" s="6"/>
      <c r="D236" s="6"/>
    </row>
    <row r="237">
      <c r="A237" s="19"/>
      <c r="B237" s="19"/>
      <c r="C237" s="6"/>
      <c r="D237" s="6"/>
    </row>
    <row r="238">
      <c r="A238" s="19"/>
      <c r="B238" s="19"/>
      <c r="C238" s="6"/>
      <c r="D238" s="6"/>
    </row>
    <row r="239">
      <c r="A239" s="19"/>
      <c r="B239" s="19"/>
      <c r="C239" s="6"/>
      <c r="D239" s="6"/>
    </row>
    <row r="240">
      <c r="A240" s="19"/>
      <c r="B240" s="19"/>
      <c r="C240" s="6"/>
      <c r="D240" s="6"/>
    </row>
    <row r="241">
      <c r="A241" s="19"/>
      <c r="B241" s="19"/>
      <c r="C241" s="4"/>
      <c r="D241" s="4"/>
    </row>
    <row r="242">
      <c r="A242" s="19"/>
      <c r="B242" s="19"/>
      <c r="C242" s="6"/>
      <c r="D242" s="6"/>
    </row>
    <row r="243">
      <c r="A243" s="19"/>
      <c r="B243" s="19"/>
      <c r="C243" s="6"/>
      <c r="D243" s="6"/>
    </row>
    <row r="244">
      <c r="A244" s="19"/>
      <c r="B244" s="19"/>
      <c r="C244" s="6"/>
      <c r="D244" s="6"/>
    </row>
    <row r="245">
      <c r="A245" s="19"/>
      <c r="B245" s="19"/>
      <c r="C245" s="6"/>
      <c r="D245" s="6"/>
    </row>
    <row r="246">
      <c r="A246" s="19"/>
      <c r="B246" s="19"/>
      <c r="C246" s="6"/>
      <c r="D246" s="6"/>
    </row>
    <row r="247">
      <c r="A247" s="19"/>
      <c r="B247" s="19"/>
      <c r="C247" s="6"/>
      <c r="D247" s="6"/>
    </row>
    <row r="248">
      <c r="A248" s="19"/>
      <c r="B248" s="19"/>
      <c r="C248" s="6"/>
      <c r="D248" s="6"/>
    </row>
    <row r="249">
      <c r="A249" s="19"/>
      <c r="B249" s="19"/>
      <c r="C249" s="6"/>
      <c r="D249" s="6"/>
    </row>
    <row r="250">
      <c r="A250" s="19"/>
      <c r="B250" s="19"/>
      <c r="C250" s="6"/>
      <c r="D250" s="6"/>
    </row>
    <row r="251">
      <c r="A251" s="19"/>
      <c r="B251" s="19"/>
      <c r="C251" s="6"/>
      <c r="D251" s="6"/>
    </row>
    <row r="252">
      <c r="A252" s="19"/>
      <c r="B252" s="19"/>
      <c r="C252" s="6"/>
      <c r="D252" s="6"/>
    </row>
    <row r="253">
      <c r="A253" s="19"/>
      <c r="B253" s="19"/>
      <c r="C253" s="6"/>
      <c r="D253" s="6"/>
    </row>
    <row r="254">
      <c r="A254" s="19"/>
      <c r="B254" s="19"/>
      <c r="C254" s="6"/>
      <c r="D254" s="6"/>
    </row>
    <row r="255">
      <c r="A255" s="19"/>
      <c r="B255" s="19"/>
      <c r="C255" s="6"/>
      <c r="D255" s="6"/>
    </row>
    <row r="256">
      <c r="A256" s="19"/>
      <c r="B256" s="19"/>
      <c r="C256" s="6"/>
      <c r="D256" s="6"/>
    </row>
    <row r="257">
      <c r="A257" s="19"/>
      <c r="B257" s="19"/>
      <c r="C257" s="6"/>
      <c r="D257" s="6"/>
    </row>
    <row r="258">
      <c r="A258" s="19"/>
      <c r="B258" s="19"/>
      <c r="C258" s="6"/>
      <c r="D258" s="6"/>
    </row>
    <row r="259">
      <c r="A259" s="19"/>
      <c r="B259" s="19"/>
      <c r="C259" s="6"/>
      <c r="D259" s="6"/>
    </row>
    <row r="260">
      <c r="A260" s="19"/>
      <c r="B260" s="19"/>
      <c r="C260" s="6"/>
      <c r="D260" s="6"/>
    </row>
    <row r="261">
      <c r="A261" s="19"/>
      <c r="B261" s="19"/>
      <c r="C261" s="4"/>
      <c r="D261" s="4"/>
    </row>
    <row r="262">
      <c r="A262" s="19"/>
      <c r="B262" s="19"/>
      <c r="C262" s="6"/>
      <c r="D262" s="6"/>
    </row>
    <row r="263">
      <c r="A263" s="19"/>
      <c r="B263" s="19"/>
      <c r="C263" s="6"/>
      <c r="D263" s="6"/>
    </row>
    <row r="264">
      <c r="A264" s="19"/>
      <c r="B264" s="19"/>
      <c r="C264" s="6"/>
      <c r="D264" s="6"/>
    </row>
    <row r="265">
      <c r="A265" s="19"/>
      <c r="B265" s="19"/>
      <c r="C265" s="6"/>
      <c r="D265" s="6"/>
    </row>
    <row r="266">
      <c r="A266" s="19"/>
      <c r="B266" s="19"/>
      <c r="C266" s="6"/>
      <c r="D266" s="6"/>
    </row>
    <row r="267">
      <c r="A267" s="19"/>
      <c r="B267" s="19"/>
      <c r="C267" s="6"/>
      <c r="D267" s="6"/>
    </row>
    <row r="268">
      <c r="A268" s="19"/>
      <c r="B268" s="19"/>
      <c r="C268" s="6"/>
      <c r="D268" s="6"/>
    </row>
    <row r="269">
      <c r="A269" s="19"/>
      <c r="B269" s="19"/>
      <c r="C269" s="6"/>
      <c r="D269" s="6"/>
    </row>
    <row r="270">
      <c r="A270" s="19"/>
      <c r="B270" s="19"/>
      <c r="C270" s="6"/>
      <c r="D270" s="6"/>
    </row>
    <row r="271">
      <c r="A271" s="19"/>
      <c r="B271" s="19"/>
      <c r="C271" s="6"/>
      <c r="D271" s="6"/>
    </row>
    <row r="272">
      <c r="A272" s="19"/>
      <c r="B272" s="19"/>
      <c r="C272" s="6"/>
      <c r="D272" s="6"/>
    </row>
    <row r="273">
      <c r="A273" s="19"/>
      <c r="B273" s="19"/>
      <c r="C273" s="6"/>
      <c r="D273" s="6"/>
    </row>
    <row r="274">
      <c r="A274" s="19"/>
      <c r="B274" s="19"/>
      <c r="C274" s="6"/>
      <c r="D274" s="6"/>
    </row>
    <row r="275">
      <c r="A275" s="19"/>
      <c r="B275" s="19"/>
      <c r="C275" s="6"/>
      <c r="D275" s="6"/>
    </row>
    <row r="276">
      <c r="A276" s="19"/>
      <c r="B276" s="19"/>
      <c r="C276" s="6"/>
      <c r="D276" s="6"/>
    </row>
    <row r="277">
      <c r="A277" s="19"/>
      <c r="B277" s="19"/>
      <c r="C277" s="6"/>
      <c r="D277" s="6"/>
    </row>
    <row r="278">
      <c r="A278" s="19"/>
      <c r="B278" s="19"/>
      <c r="C278" s="6"/>
      <c r="D278" s="6"/>
    </row>
    <row r="279">
      <c r="A279" s="19"/>
      <c r="B279" s="19"/>
      <c r="C279" s="6"/>
      <c r="D279" s="6"/>
    </row>
    <row r="280">
      <c r="A280" s="19"/>
      <c r="B280" s="19"/>
      <c r="C280" s="6"/>
      <c r="D280" s="6"/>
    </row>
    <row r="281">
      <c r="A281" s="19"/>
      <c r="B281" s="19"/>
      <c r="C281" s="4"/>
      <c r="D281" s="4"/>
    </row>
    <row r="282">
      <c r="A282" s="19"/>
      <c r="B282" s="19"/>
      <c r="C282" s="6"/>
      <c r="D282" s="6"/>
    </row>
    <row r="283">
      <c r="A283" s="19"/>
      <c r="B283" s="19"/>
      <c r="C283" s="6"/>
      <c r="D283" s="6"/>
    </row>
    <row r="284">
      <c r="A284" s="19"/>
      <c r="B284" s="19"/>
      <c r="C284" s="6"/>
      <c r="D284" s="6"/>
    </row>
    <row r="285">
      <c r="A285" s="19"/>
      <c r="B285" s="19"/>
      <c r="C285" s="6"/>
      <c r="D285" s="6"/>
    </row>
    <row r="286">
      <c r="A286" s="19"/>
      <c r="B286" s="19"/>
      <c r="C286" s="6"/>
      <c r="D286" s="6"/>
    </row>
    <row r="287">
      <c r="A287" s="19"/>
      <c r="B287" s="19"/>
      <c r="C287" s="6"/>
      <c r="D287" s="6"/>
    </row>
    <row r="288">
      <c r="A288" s="19"/>
      <c r="B288" s="19"/>
      <c r="C288" s="6"/>
      <c r="D288" s="6"/>
    </row>
    <row r="289">
      <c r="A289" s="19"/>
      <c r="B289" s="19"/>
      <c r="C289" s="6"/>
      <c r="D289" s="6"/>
    </row>
    <row r="290">
      <c r="A290" s="19"/>
      <c r="B290" s="19"/>
      <c r="C290" s="6"/>
      <c r="D290" s="6"/>
    </row>
    <row r="291">
      <c r="A291" s="19"/>
      <c r="B291" s="19"/>
      <c r="C291" s="6"/>
      <c r="D291" s="6"/>
    </row>
    <row r="292">
      <c r="A292" s="19"/>
      <c r="B292" s="19"/>
      <c r="C292" s="6"/>
      <c r="D292" s="6"/>
    </row>
    <row r="293">
      <c r="A293" s="19"/>
      <c r="B293" s="19"/>
      <c r="C293" s="6"/>
      <c r="D293" s="6"/>
    </row>
    <row r="294">
      <c r="A294" s="19"/>
      <c r="B294" s="19"/>
      <c r="C294" s="6"/>
      <c r="D294" s="6"/>
    </row>
    <row r="295">
      <c r="A295" s="19"/>
      <c r="B295" s="19"/>
      <c r="C295" s="6"/>
      <c r="D295" s="6"/>
    </row>
    <row r="296">
      <c r="A296" s="19"/>
      <c r="B296" s="19"/>
      <c r="C296" s="6"/>
      <c r="D296" s="6"/>
    </row>
    <row r="297">
      <c r="A297" s="19"/>
      <c r="B297" s="19"/>
      <c r="C297" s="6"/>
      <c r="D297" s="6"/>
    </row>
    <row r="298">
      <c r="A298" s="19"/>
      <c r="B298" s="19"/>
      <c r="C298" s="6"/>
      <c r="D298" s="6"/>
    </row>
    <row r="299">
      <c r="A299" s="19"/>
      <c r="B299" s="19"/>
      <c r="C299" s="6"/>
      <c r="D299" s="6"/>
    </row>
    <row r="300">
      <c r="A300" s="19"/>
      <c r="B300" s="19"/>
      <c r="C300" s="6"/>
      <c r="D300" s="6"/>
    </row>
    <row r="301">
      <c r="A301" s="19"/>
      <c r="B301" s="19"/>
      <c r="C301" s="4"/>
      <c r="D301" s="4"/>
    </row>
    <row r="302">
      <c r="A302" s="19"/>
      <c r="B302" s="19"/>
      <c r="C302" s="6"/>
      <c r="D302" s="6"/>
    </row>
    <row r="303">
      <c r="A303" s="19"/>
      <c r="B303" s="19"/>
      <c r="C303" s="6"/>
      <c r="D303" s="6"/>
    </row>
    <row r="304">
      <c r="A304" s="19"/>
      <c r="B304" s="19"/>
      <c r="C304" s="6"/>
      <c r="D304" s="6"/>
    </row>
    <row r="305">
      <c r="A305" s="19"/>
      <c r="B305" s="19"/>
      <c r="C305" s="6"/>
      <c r="D305" s="6"/>
    </row>
    <row r="306">
      <c r="A306" s="19"/>
      <c r="B306" s="19"/>
      <c r="C306" s="6"/>
      <c r="D306" s="6"/>
    </row>
    <row r="307">
      <c r="A307" s="19"/>
      <c r="B307" s="19"/>
      <c r="C307" s="6"/>
      <c r="D307" s="6"/>
    </row>
    <row r="308">
      <c r="A308" s="19"/>
      <c r="B308" s="19"/>
      <c r="C308" s="6"/>
      <c r="D308" s="6"/>
    </row>
    <row r="309">
      <c r="A309" s="19"/>
      <c r="B309" s="19"/>
      <c r="C309" s="6"/>
      <c r="D309" s="6"/>
    </row>
    <row r="310">
      <c r="A310" s="19"/>
      <c r="B310" s="19"/>
      <c r="C310" s="6"/>
      <c r="D310" s="6"/>
    </row>
    <row r="311">
      <c r="A311" s="19"/>
      <c r="B311" s="19"/>
      <c r="C311" s="6"/>
      <c r="D311" s="6"/>
    </row>
    <row r="312">
      <c r="A312" s="19"/>
      <c r="B312" s="19"/>
      <c r="C312" s="6"/>
      <c r="D312" s="6"/>
    </row>
    <row r="313">
      <c r="A313" s="19"/>
      <c r="B313" s="19"/>
      <c r="C313" s="6"/>
      <c r="D313" s="6"/>
    </row>
    <row r="314">
      <c r="A314" s="19"/>
      <c r="B314" s="19"/>
      <c r="C314" s="6"/>
      <c r="D314" s="6"/>
    </row>
    <row r="315">
      <c r="A315" s="19"/>
      <c r="B315" s="19"/>
      <c r="C315" s="6"/>
      <c r="D315" s="6"/>
    </row>
    <row r="316">
      <c r="A316" s="19"/>
      <c r="B316" s="19"/>
      <c r="C316" s="6"/>
      <c r="D316" s="6"/>
    </row>
    <row r="317">
      <c r="A317" s="19"/>
      <c r="B317" s="19"/>
      <c r="C317" s="6"/>
      <c r="D317" s="6"/>
    </row>
    <row r="318">
      <c r="A318" s="19"/>
      <c r="B318" s="19"/>
      <c r="C318" s="6"/>
      <c r="D318" s="6"/>
    </row>
    <row r="319">
      <c r="A319" s="19"/>
      <c r="B319" s="19"/>
      <c r="C319" s="6"/>
      <c r="D319" s="6"/>
    </row>
    <row r="320">
      <c r="A320" s="19"/>
      <c r="B320" s="19"/>
      <c r="C320" s="6"/>
      <c r="D320" s="6"/>
    </row>
    <row r="321">
      <c r="A321" s="19"/>
      <c r="B321" s="19"/>
      <c r="C321" s="4"/>
      <c r="D321" s="4"/>
    </row>
    <row r="322">
      <c r="A322" s="19"/>
      <c r="B322" s="19"/>
      <c r="C322" s="6"/>
      <c r="D322" s="6"/>
    </row>
    <row r="323">
      <c r="A323" s="19"/>
      <c r="B323" s="19"/>
      <c r="C323" s="6"/>
      <c r="D323" s="6"/>
    </row>
    <row r="324">
      <c r="A324" s="19"/>
      <c r="B324" s="19"/>
      <c r="C324" s="6"/>
      <c r="D324" s="6"/>
    </row>
    <row r="325">
      <c r="A325" s="19"/>
      <c r="B325" s="19"/>
      <c r="C325" s="6"/>
      <c r="D325" s="6"/>
    </row>
    <row r="326">
      <c r="A326" s="19"/>
      <c r="B326" s="19"/>
      <c r="C326" s="6"/>
      <c r="D326" s="6"/>
    </row>
    <row r="327">
      <c r="A327" s="19"/>
      <c r="B327" s="19"/>
      <c r="C327" s="6"/>
      <c r="D327" s="6"/>
    </row>
    <row r="328">
      <c r="A328" s="19"/>
      <c r="B328" s="19"/>
      <c r="C328" s="6"/>
      <c r="D328" s="6"/>
    </row>
    <row r="329">
      <c r="A329" s="19"/>
      <c r="B329" s="19"/>
      <c r="C329" s="6"/>
      <c r="D329" s="6"/>
    </row>
    <row r="330">
      <c r="A330" s="19"/>
      <c r="B330" s="19"/>
      <c r="C330" s="6"/>
      <c r="D330" s="6"/>
    </row>
    <row r="331">
      <c r="A331" s="19"/>
      <c r="B331" s="19"/>
      <c r="C331" s="6"/>
      <c r="D331" s="6"/>
    </row>
    <row r="332">
      <c r="A332" s="19"/>
      <c r="B332" s="19"/>
      <c r="C332" s="6"/>
      <c r="D332" s="6"/>
    </row>
    <row r="333">
      <c r="A333" s="19"/>
      <c r="B333" s="19"/>
      <c r="C333" s="6"/>
      <c r="D333" s="6"/>
    </row>
    <row r="334">
      <c r="A334" s="19"/>
      <c r="B334" s="19"/>
      <c r="C334" s="6"/>
      <c r="D334" s="6"/>
    </row>
    <row r="335">
      <c r="A335" s="19"/>
      <c r="B335" s="19"/>
      <c r="C335" s="6"/>
      <c r="D335" s="6"/>
    </row>
    <row r="336">
      <c r="A336" s="19"/>
      <c r="B336" s="19"/>
      <c r="C336" s="6"/>
      <c r="D336" s="6"/>
    </row>
    <row r="337">
      <c r="A337" s="19"/>
      <c r="B337" s="19"/>
      <c r="C337" s="6"/>
      <c r="D337" s="6"/>
    </row>
    <row r="338">
      <c r="A338" s="19"/>
      <c r="B338" s="19"/>
      <c r="C338" s="6"/>
      <c r="D338" s="6"/>
    </row>
    <row r="339">
      <c r="A339" s="19"/>
      <c r="B339" s="19"/>
      <c r="C339" s="6"/>
      <c r="D339" s="6"/>
    </row>
    <row r="340">
      <c r="A340" s="19"/>
      <c r="B340" s="19"/>
      <c r="C340" s="6"/>
      <c r="D340" s="6"/>
    </row>
    <row r="341">
      <c r="A341" s="19"/>
      <c r="B341" s="19"/>
      <c r="C341" s="4"/>
      <c r="D341" s="4"/>
    </row>
    <row r="342">
      <c r="A342" s="19"/>
      <c r="B342" s="19"/>
      <c r="C342" s="6"/>
      <c r="D342" s="6"/>
    </row>
    <row r="343">
      <c r="A343" s="19"/>
      <c r="B343" s="19"/>
      <c r="C343" s="6"/>
      <c r="D343" s="6"/>
    </row>
    <row r="344">
      <c r="A344" s="19"/>
      <c r="B344" s="19"/>
      <c r="C344" s="6"/>
      <c r="D344" s="6"/>
    </row>
    <row r="345">
      <c r="A345" s="19"/>
      <c r="B345" s="19"/>
      <c r="C345" s="6"/>
      <c r="D345" s="6"/>
    </row>
    <row r="346">
      <c r="A346" s="19"/>
      <c r="B346" s="19"/>
      <c r="C346" s="6"/>
      <c r="D346" s="6"/>
    </row>
    <row r="347">
      <c r="A347" s="19"/>
      <c r="B347" s="19"/>
      <c r="C347" s="6"/>
      <c r="D347" s="6"/>
    </row>
    <row r="348">
      <c r="A348" s="19"/>
      <c r="B348" s="19"/>
      <c r="C348" s="6"/>
      <c r="D348" s="6"/>
    </row>
    <row r="349">
      <c r="A349" s="19"/>
      <c r="B349" s="19"/>
      <c r="C349" s="6"/>
      <c r="D349" s="6"/>
    </row>
    <row r="350">
      <c r="A350" s="19"/>
      <c r="B350" s="19"/>
      <c r="C350" s="6"/>
      <c r="D350" s="6"/>
    </row>
    <row r="351">
      <c r="A351" s="19"/>
      <c r="B351" s="19"/>
      <c r="C351" s="6"/>
      <c r="D351" s="6"/>
    </row>
    <row r="352">
      <c r="A352" s="19"/>
      <c r="B352" s="19"/>
      <c r="C352" s="6"/>
      <c r="D352" s="6"/>
    </row>
    <row r="353">
      <c r="A353" s="19"/>
      <c r="B353" s="19"/>
      <c r="C353" s="6"/>
      <c r="D353" s="6"/>
    </row>
    <row r="354">
      <c r="A354" s="19"/>
      <c r="B354" s="19"/>
      <c r="C354" s="6"/>
      <c r="D354" s="6"/>
    </row>
    <row r="355">
      <c r="A355" s="19"/>
      <c r="B355" s="19"/>
      <c r="C355" s="6"/>
      <c r="D355" s="6"/>
    </row>
    <row r="356">
      <c r="A356" s="19"/>
      <c r="B356" s="19"/>
      <c r="C356" s="6"/>
      <c r="D356" s="6"/>
    </row>
    <row r="357">
      <c r="A357" s="19"/>
      <c r="B357" s="19"/>
      <c r="C357" s="6"/>
      <c r="D357" s="6"/>
    </row>
    <row r="358">
      <c r="A358" s="19"/>
      <c r="B358" s="19"/>
      <c r="C358" s="6"/>
      <c r="D358" s="6"/>
    </row>
    <row r="359">
      <c r="A359" s="19"/>
      <c r="B359" s="19"/>
      <c r="C359" s="6"/>
      <c r="D359" s="6"/>
    </row>
    <row r="360">
      <c r="A360" s="19"/>
      <c r="B360" s="19"/>
      <c r="C360" s="6"/>
      <c r="D360" s="6"/>
    </row>
    <row r="361">
      <c r="A361" s="19"/>
      <c r="B361" s="19"/>
      <c r="C361" s="4"/>
      <c r="D361" s="4"/>
    </row>
    <row r="362">
      <c r="A362" s="19"/>
      <c r="B362" s="19"/>
      <c r="C362" s="6"/>
      <c r="D362" s="6"/>
    </row>
    <row r="363">
      <c r="A363" s="19"/>
      <c r="B363" s="19"/>
      <c r="C363" s="6"/>
      <c r="D363" s="6"/>
    </row>
    <row r="364">
      <c r="A364" s="19"/>
      <c r="B364" s="19"/>
      <c r="C364" s="6"/>
      <c r="D364" s="6"/>
    </row>
    <row r="365">
      <c r="A365" s="19"/>
      <c r="B365" s="19"/>
      <c r="C365" s="6"/>
      <c r="D365" s="6"/>
    </row>
    <row r="366">
      <c r="A366" s="19"/>
      <c r="B366" s="19"/>
      <c r="C366" s="6"/>
      <c r="D366" s="6"/>
    </row>
    <row r="367">
      <c r="A367" s="19"/>
      <c r="B367" s="19"/>
      <c r="C367" s="6"/>
      <c r="D367" s="6"/>
    </row>
    <row r="368">
      <c r="A368" s="19"/>
      <c r="B368" s="19"/>
      <c r="C368" s="6"/>
      <c r="D368" s="6"/>
    </row>
    <row r="369">
      <c r="A369" s="19"/>
      <c r="B369" s="19"/>
      <c r="C369" s="6"/>
      <c r="D369" s="6"/>
    </row>
    <row r="370">
      <c r="A370" s="19"/>
      <c r="B370" s="19"/>
      <c r="C370" s="6"/>
      <c r="D370" s="6"/>
    </row>
    <row r="371">
      <c r="A371" s="19"/>
      <c r="B371" s="19"/>
      <c r="C371" s="6"/>
      <c r="D371" s="6"/>
    </row>
    <row r="372">
      <c r="A372" s="19"/>
      <c r="B372" s="19"/>
      <c r="C372" s="6"/>
      <c r="D372" s="6"/>
    </row>
    <row r="373">
      <c r="A373" s="19"/>
      <c r="B373" s="19"/>
      <c r="C373" s="6"/>
      <c r="D373" s="6"/>
    </row>
    <row r="374">
      <c r="A374" s="19"/>
      <c r="B374" s="19"/>
      <c r="C374" s="6"/>
      <c r="D374" s="6"/>
    </row>
    <row r="375">
      <c r="A375" s="19"/>
      <c r="B375" s="19"/>
      <c r="C375" s="6"/>
      <c r="D375" s="6"/>
    </row>
    <row r="376">
      <c r="A376" s="19"/>
      <c r="B376" s="19"/>
      <c r="C376" s="6"/>
      <c r="D376" s="6"/>
    </row>
    <row r="377">
      <c r="A377" s="19"/>
      <c r="B377" s="19"/>
      <c r="C377" s="6"/>
      <c r="D377" s="6"/>
    </row>
    <row r="378">
      <c r="A378" s="19"/>
      <c r="B378" s="19"/>
      <c r="C378" s="6"/>
      <c r="D378" s="6"/>
    </row>
    <row r="379">
      <c r="A379" s="19"/>
      <c r="B379" s="19"/>
      <c r="C379" s="6"/>
      <c r="D379" s="6"/>
    </row>
    <row r="380">
      <c r="A380" s="19"/>
      <c r="B380" s="19"/>
      <c r="C380" s="6"/>
      <c r="D380" s="6"/>
    </row>
    <row r="381">
      <c r="A381" s="19"/>
      <c r="B381" s="19"/>
      <c r="C381" s="4"/>
      <c r="D381" s="4"/>
    </row>
    <row r="382">
      <c r="A382" s="19"/>
      <c r="B382" s="19"/>
      <c r="C382" s="6"/>
      <c r="D382" s="6"/>
    </row>
    <row r="383">
      <c r="A383" s="19"/>
      <c r="B383" s="19"/>
      <c r="C383" s="6"/>
      <c r="D383" s="6"/>
    </row>
    <row r="384">
      <c r="A384" s="19"/>
      <c r="B384" s="19"/>
      <c r="C384" s="6"/>
      <c r="D384" s="6"/>
    </row>
    <row r="385">
      <c r="A385" s="19"/>
      <c r="B385" s="19"/>
      <c r="C385" s="6"/>
      <c r="D385" s="6"/>
    </row>
    <row r="386">
      <c r="A386" s="19"/>
      <c r="B386" s="19"/>
      <c r="C386" s="6"/>
      <c r="D386" s="6"/>
    </row>
    <row r="387">
      <c r="A387" s="19"/>
      <c r="B387" s="19"/>
      <c r="C387" s="6"/>
      <c r="D387" s="6"/>
    </row>
    <row r="388">
      <c r="A388" s="19"/>
      <c r="B388" s="19"/>
      <c r="C388" s="6"/>
      <c r="D388" s="6"/>
    </row>
    <row r="389">
      <c r="A389" s="19"/>
      <c r="B389" s="19"/>
      <c r="C389" s="6"/>
      <c r="D389" s="6"/>
    </row>
    <row r="390">
      <c r="A390" s="19"/>
      <c r="B390" s="19"/>
      <c r="C390" s="6"/>
      <c r="D390" s="6"/>
    </row>
    <row r="391">
      <c r="A391" s="19"/>
      <c r="B391" s="19"/>
      <c r="C391" s="6"/>
      <c r="D391" s="6"/>
    </row>
    <row r="392">
      <c r="A392" s="19"/>
      <c r="B392" s="19"/>
      <c r="C392" s="6"/>
      <c r="D392" s="6"/>
    </row>
    <row r="393">
      <c r="A393" s="19"/>
      <c r="B393" s="19"/>
      <c r="C393" s="6"/>
      <c r="D393" s="6"/>
    </row>
    <row r="394">
      <c r="A394" s="19"/>
      <c r="B394" s="19"/>
      <c r="C394" s="6"/>
      <c r="D394" s="6"/>
    </row>
    <row r="395">
      <c r="A395" s="19"/>
      <c r="B395" s="19"/>
      <c r="C395" s="6"/>
      <c r="D395" s="6"/>
    </row>
    <row r="396">
      <c r="A396" s="19"/>
      <c r="B396" s="19"/>
      <c r="C396" s="6"/>
      <c r="D396" s="6"/>
    </row>
    <row r="397">
      <c r="A397" s="19"/>
      <c r="B397" s="19"/>
      <c r="C397" s="6"/>
      <c r="D397" s="6"/>
    </row>
    <row r="398">
      <c r="A398" s="19"/>
      <c r="B398" s="19"/>
      <c r="C398" s="6"/>
      <c r="D398" s="6"/>
    </row>
    <row r="399">
      <c r="A399" s="19"/>
      <c r="B399" s="19"/>
      <c r="C399" s="6"/>
      <c r="D399" s="6"/>
    </row>
    <row r="400">
      <c r="A400" s="19"/>
      <c r="B400" s="19"/>
      <c r="C400" s="6"/>
      <c r="D400" s="6"/>
    </row>
    <row r="401">
      <c r="A401" s="19"/>
      <c r="B401" s="19"/>
      <c r="C401" s="4"/>
      <c r="D401" s="4"/>
    </row>
    <row r="402">
      <c r="A402" s="19"/>
      <c r="B402" s="19"/>
      <c r="C402" s="6"/>
      <c r="D402" s="6"/>
    </row>
    <row r="403">
      <c r="A403" s="19"/>
      <c r="B403" s="19"/>
      <c r="C403" s="6"/>
      <c r="D403" s="6"/>
    </row>
    <row r="404">
      <c r="A404" s="19"/>
      <c r="B404" s="19"/>
      <c r="C404" s="6"/>
      <c r="D404" s="6"/>
    </row>
    <row r="405">
      <c r="A405" s="19"/>
      <c r="B405" s="19"/>
      <c r="C405" s="6"/>
      <c r="D405" s="6"/>
    </row>
    <row r="406">
      <c r="A406" s="19"/>
      <c r="B406" s="19"/>
      <c r="C406" s="6"/>
      <c r="D406" s="6"/>
    </row>
    <row r="407">
      <c r="A407" s="19"/>
      <c r="B407" s="19"/>
      <c r="C407" s="6"/>
      <c r="D407" s="6"/>
    </row>
    <row r="408">
      <c r="A408" s="19"/>
      <c r="B408" s="19"/>
      <c r="C408" s="6"/>
      <c r="D408" s="6"/>
    </row>
    <row r="409">
      <c r="A409" s="19"/>
      <c r="B409" s="19"/>
      <c r="C409" s="6"/>
      <c r="D409" s="6"/>
    </row>
    <row r="410">
      <c r="A410" s="19"/>
      <c r="B410" s="19"/>
      <c r="C410" s="6"/>
      <c r="D410" s="6"/>
    </row>
    <row r="411">
      <c r="A411" s="19"/>
      <c r="B411" s="19"/>
      <c r="C411" s="6"/>
      <c r="D411" s="6"/>
    </row>
    <row r="412">
      <c r="A412" s="19"/>
      <c r="B412" s="19"/>
      <c r="C412" s="6"/>
      <c r="D412" s="6"/>
    </row>
    <row r="413">
      <c r="A413" s="19"/>
      <c r="B413" s="19"/>
      <c r="C413" s="6"/>
      <c r="D413" s="6"/>
    </row>
    <row r="414">
      <c r="A414" s="19"/>
      <c r="B414" s="19"/>
      <c r="C414" s="6"/>
      <c r="D414" s="6"/>
    </row>
    <row r="415">
      <c r="A415" s="19"/>
      <c r="B415" s="19"/>
      <c r="C415" s="6"/>
      <c r="D415" s="6"/>
    </row>
    <row r="416">
      <c r="A416" s="19"/>
      <c r="B416" s="19"/>
      <c r="C416" s="6"/>
      <c r="D416" s="6"/>
    </row>
    <row r="417">
      <c r="A417" s="19"/>
      <c r="B417" s="19"/>
      <c r="C417" s="6"/>
      <c r="D417" s="6"/>
    </row>
    <row r="418">
      <c r="A418" s="19"/>
      <c r="B418" s="19"/>
      <c r="C418" s="6"/>
      <c r="D418" s="6"/>
    </row>
    <row r="419">
      <c r="A419" s="19"/>
      <c r="B419" s="19"/>
      <c r="C419" s="6"/>
      <c r="D419" s="6"/>
    </row>
    <row r="420">
      <c r="A420" s="19"/>
      <c r="B420" s="19"/>
      <c r="C420" s="6"/>
      <c r="D420" s="6"/>
    </row>
    <row r="421">
      <c r="A421" s="19"/>
      <c r="B421" s="19"/>
      <c r="C421" s="4"/>
      <c r="D421" s="4"/>
    </row>
    <row r="422">
      <c r="A422" s="19"/>
      <c r="B422" s="19"/>
      <c r="C422" s="6"/>
      <c r="D422" s="6"/>
    </row>
    <row r="423">
      <c r="A423" s="19"/>
      <c r="B423" s="19"/>
      <c r="C423" s="6"/>
      <c r="D423" s="6"/>
    </row>
    <row r="424">
      <c r="A424" s="19"/>
      <c r="B424" s="19"/>
      <c r="C424" s="6"/>
      <c r="D424" s="6"/>
    </row>
    <row r="425">
      <c r="A425" s="19"/>
      <c r="B425" s="19"/>
      <c r="C425" s="6"/>
      <c r="D425" s="6"/>
    </row>
    <row r="426">
      <c r="A426" s="19"/>
      <c r="B426" s="19"/>
      <c r="C426" s="6"/>
      <c r="D426" s="6"/>
    </row>
    <row r="427">
      <c r="A427" s="19"/>
      <c r="B427" s="19"/>
      <c r="C427" s="6"/>
      <c r="D427" s="6"/>
    </row>
    <row r="428">
      <c r="A428" s="19"/>
      <c r="B428" s="19"/>
      <c r="C428" s="6"/>
      <c r="D428" s="6"/>
    </row>
    <row r="429">
      <c r="A429" s="19"/>
      <c r="B429" s="19"/>
      <c r="C429" s="6"/>
      <c r="D429" s="6"/>
    </row>
    <row r="430">
      <c r="A430" s="19"/>
      <c r="B430" s="19"/>
      <c r="C430" s="6"/>
      <c r="D430" s="6"/>
    </row>
    <row r="431">
      <c r="A431" s="19"/>
      <c r="B431" s="19"/>
      <c r="C431" s="6"/>
      <c r="D431" s="6"/>
    </row>
    <row r="432">
      <c r="A432" s="19"/>
      <c r="B432" s="19"/>
      <c r="C432" s="6"/>
      <c r="D432" s="6"/>
    </row>
    <row r="433">
      <c r="A433" s="19"/>
      <c r="B433" s="19"/>
      <c r="C433" s="6"/>
      <c r="D433" s="6"/>
    </row>
    <row r="434">
      <c r="A434" s="19"/>
      <c r="B434" s="19"/>
      <c r="C434" s="6"/>
      <c r="D434" s="6"/>
    </row>
    <row r="435">
      <c r="A435" s="19"/>
      <c r="B435" s="19"/>
      <c r="C435" s="6"/>
      <c r="D435" s="6"/>
    </row>
    <row r="436">
      <c r="A436" s="19"/>
      <c r="B436" s="19"/>
      <c r="C436" s="6"/>
      <c r="D436" s="6"/>
    </row>
    <row r="437">
      <c r="A437" s="19"/>
      <c r="B437" s="19"/>
      <c r="C437" s="6"/>
      <c r="D437" s="6"/>
    </row>
    <row r="438">
      <c r="A438" s="19"/>
      <c r="B438" s="19"/>
      <c r="C438" s="6"/>
      <c r="D438" s="6"/>
    </row>
    <row r="439">
      <c r="A439" s="19"/>
      <c r="B439" s="19"/>
      <c r="C439" s="6"/>
      <c r="D439" s="6"/>
    </row>
    <row r="440">
      <c r="A440" s="19"/>
      <c r="B440" s="19"/>
      <c r="C440" s="6"/>
      <c r="D440" s="6"/>
    </row>
    <row r="441">
      <c r="A441" s="19"/>
      <c r="B441" s="19"/>
      <c r="C441" s="4"/>
      <c r="D441" s="4"/>
    </row>
    <row r="442">
      <c r="A442" s="19"/>
      <c r="B442" s="19"/>
      <c r="C442" s="6"/>
      <c r="D442" s="6"/>
    </row>
    <row r="443">
      <c r="A443" s="19"/>
      <c r="B443" s="19"/>
      <c r="C443" s="6"/>
      <c r="D443" s="6"/>
    </row>
    <row r="444">
      <c r="A444" s="19"/>
      <c r="B444" s="19"/>
      <c r="C444" s="6"/>
      <c r="D444" s="6"/>
    </row>
    <row r="445">
      <c r="A445" s="19"/>
      <c r="B445" s="19"/>
      <c r="C445" s="6"/>
      <c r="D445" s="6"/>
    </row>
    <row r="446">
      <c r="A446" s="19"/>
      <c r="B446" s="19"/>
      <c r="C446" s="6"/>
      <c r="D446" s="6"/>
    </row>
    <row r="447">
      <c r="A447" s="19"/>
      <c r="B447" s="19"/>
      <c r="C447" s="6"/>
      <c r="D447" s="6"/>
    </row>
    <row r="448">
      <c r="A448" s="19"/>
      <c r="B448" s="19"/>
      <c r="C448" s="6"/>
      <c r="D448" s="6"/>
    </row>
    <row r="449">
      <c r="A449" s="19"/>
      <c r="B449" s="19"/>
      <c r="C449" s="6"/>
      <c r="D449" s="6"/>
    </row>
    <row r="450">
      <c r="A450" s="19"/>
      <c r="B450" s="19"/>
      <c r="C450" s="6"/>
      <c r="D450" s="6"/>
    </row>
    <row r="451">
      <c r="A451" s="19"/>
      <c r="B451" s="19"/>
      <c r="C451" s="6"/>
      <c r="D451" s="6"/>
    </row>
    <row r="452">
      <c r="A452" s="19"/>
      <c r="B452" s="19"/>
      <c r="C452" s="6"/>
      <c r="D452" s="6"/>
    </row>
    <row r="453">
      <c r="A453" s="19"/>
      <c r="B453" s="19"/>
      <c r="C453" s="6"/>
      <c r="D453" s="6"/>
    </row>
    <row r="454">
      <c r="A454" s="19"/>
      <c r="B454" s="19"/>
      <c r="C454" s="6"/>
      <c r="D454" s="6"/>
    </row>
    <row r="455">
      <c r="A455" s="19"/>
      <c r="B455" s="19"/>
      <c r="C455" s="6"/>
      <c r="D455" s="6"/>
    </row>
    <row r="456">
      <c r="A456" s="19"/>
      <c r="B456" s="19"/>
      <c r="C456" s="6"/>
      <c r="D456" s="6"/>
    </row>
    <row r="457">
      <c r="A457" s="19"/>
      <c r="B457" s="19"/>
      <c r="C457" s="6"/>
      <c r="D457" s="6"/>
    </row>
    <row r="458">
      <c r="A458" s="19"/>
      <c r="B458" s="19"/>
      <c r="C458" s="6"/>
      <c r="D458" s="6"/>
    </row>
    <row r="459">
      <c r="A459" s="19"/>
      <c r="B459" s="19"/>
      <c r="C459" s="6"/>
      <c r="D459" s="6"/>
    </row>
    <row r="460">
      <c r="A460" s="19"/>
      <c r="B460" s="19"/>
      <c r="C460" s="6"/>
      <c r="D460" s="6"/>
    </row>
    <row r="461">
      <c r="A461" s="19"/>
      <c r="B461" s="19"/>
      <c r="C461" s="4"/>
      <c r="D461" s="4"/>
    </row>
    <row r="462">
      <c r="A462" s="19"/>
      <c r="B462" s="19"/>
      <c r="C462" s="6"/>
      <c r="D462" s="6"/>
    </row>
    <row r="463">
      <c r="A463" s="19"/>
      <c r="B463" s="19"/>
      <c r="C463" s="6"/>
      <c r="D463" s="6"/>
    </row>
    <row r="464">
      <c r="A464" s="19"/>
      <c r="B464" s="19"/>
      <c r="C464" s="6"/>
      <c r="D464" s="6"/>
    </row>
    <row r="465">
      <c r="A465" s="19"/>
      <c r="B465" s="19"/>
      <c r="C465" s="6"/>
      <c r="D465" s="6"/>
    </row>
    <row r="466">
      <c r="A466" s="19"/>
      <c r="B466" s="19"/>
      <c r="C466" s="6"/>
      <c r="D466" s="6"/>
    </row>
    <row r="467">
      <c r="A467" s="19"/>
      <c r="B467" s="19"/>
      <c r="C467" s="6"/>
      <c r="D467" s="6"/>
    </row>
    <row r="468">
      <c r="A468" s="19"/>
      <c r="B468" s="19"/>
      <c r="C468" s="6"/>
      <c r="D468" s="6"/>
    </row>
    <row r="469">
      <c r="A469" s="19"/>
      <c r="B469" s="19"/>
      <c r="C469" s="6"/>
      <c r="D469" s="6"/>
    </row>
    <row r="470">
      <c r="A470" s="19"/>
      <c r="B470" s="19"/>
      <c r="C470" s="6"/>
      <c r="D470" s="6"/>
    </row>
    <row r="471">
      <c r="A471" s="19"/>
      <c r="B471" s="19"/>
      <c r="C471" s="6"/>
      <c r="D471" s="6"/>
    </row>
    <row r="472">
      <c r="A472" s="19"/>
      <c r="B472" s="19"/>
      <c r="C472" s="6"/>
      <c r="D472" s="6"/>
    </row>
    <row r="473">
      <c r="A473" s="19"/>
      <c r="B473" s="19"/>
      <c r="C473" s="6"/>
      <c r="D473" s="6"/>
    </row>
    <row r="474">
      <c r="A474" s="19"/>
      <c r="B474" s="19"/>
      <c r="C474" s="6"/>
      <c r="D474" s="6"/>
    </row>
    <row r="475">
      <c r="A475" s="19"/>
      <c r="B475" s="19"/>
      <c r="C475" s="6"/>
      <c r="D475" s="6"/>
    </row>
    <row r="476">
      <c r="A476" s="19"/>
      <c r="B476" s="19"/>
      <c r="C476" s="6"/>
      <c r="D476" s="6"/>
    </row>
    <row r="477">
      <c r="A477" s="19"/>
      <c r="B477" s="19"/>
      <c r="C477" s="6"/>
      <c r="D477" s="6"/>
    </row>
    <row r="478">
      <c r="A478" s="19"/>
      <c r="B478" s="19"/>
      <c r="C478" s="6"/>
      <c r="D478" s="6"/>
    </row>
    <row r="479">
      <c r="A479" s="19"/>
      <c r="B479" s="19"/>
      <c r="C479" s="6"/>
      <c r="D479" s="6"/>
    </row>
    <row r="480">
      <c r="A480" s="19"/>
      <c r="B480" s="19"/>
      <c r="C480" s="6"/>
      <c r="D480" s="6"/>
    </row>
    <row r="481">
      <c r="A481" s="19"/>
      <c r="B481" s="19"/>
      <c r="C481" s="4"/>
      <c r="D481" s="4"/>
    </row>
    <row r="482">
      <c r="A482" s="19"/>
      <c r="B482" s="19"/>
      <c r="C482" s="6"/>
      <c r="D482" s="6"/>
    </row>
    <row r="483">
      <c r="A483" s="19"/>
      <c r="B483" s="19"/>
      <c r="C483" s="6"/>
      <c r="D483" s="6"/>
    </row>
    <row r="484">
      <c r="A484" s="19"/>
      <c r="B484" s="19"/>
      <c r="C484" s="6"/>
      <c r="D484" s="6"/>
    </row>
    <row r="485">
      <c r="A485" s="19"/>
      <c r="B485" s="19"/>
      <c r="C485" s="6"/>
      <c r="D485" s="6"/>
    </row>
    <row r="486">
      <c r="A486" s="19"/>
      <c r="B486" s="19"/>
      <c r="C486" s="6"/>
      <c r="D486" s="6"/>
    </row>
    <row r="487">
      <c r="A487" s="19"/>
      <c r="B487" s="19"/>
      <c r="C487" s="6"/>
      <c r="D487" s="6"/>
    </row>
    <row r="488">
      <c r="A488" s="19"/>
      <c r="B488" s="19"/>
      <c r="C488" s="6"/>
      <c r="D488" s="6"/>
    </row>
    <row r="489">
      <c r="A489" s="19"/>
      <c r="B489" s="19"/>
      <c r="C489" s="6"/>
      <c r="D489" s="6"/>
    </row>
    <row r="490">
      <c r="A490" s="19"/>
      <c r="B490" s="19"/>
      <c r="C490" s="6"/>
      <c r="D490" s="6"/>
    </row>
    <row r="491">
      <c r="A491" s="19"/>
      <c r="B491" s="19"/>
      <c r="C491" s="6"/>
      <c r="D491" s="6"/>
    </row>
    <row r="492">
      <c r="A492" s="19"/>
      <c r="B492" s="19"/>
      <c r="C492" s="6"/>
      <c r="D492" s="6"/>
    </row>
    <row r="493">
      <c r="A493" s="19"/>
      <c r="B493" s="19"/>
      <c r="C493" s="6"/>
      <c r="D493" s="6"/>
    </row>
    <row r="494">
      <c r="A494" s="19"/>
      <c r="B494" s="19"/>
      <c r="C494" s="6"/>
      <c r="D494" s="6"/>
    </row>
    <row r="495">
      <c r="A495" s="19"/>
      <c r="B495" s="19"/>
      <c r="C495" s="6"/>
      <c r="D495" s="6"/>
    </row>
    <row r="496">
      <c r="A496" s="19"/>
      <c r="B496" s="19"/>
      <c r="C496" s="6"/>
      <c r="D496" s="6"/>
    </row>
    <row r="497">
      <c r="A497" s="19"/>
      <c r="B497" s="19"/>
      <c r="C497" s="6"/>
      <c r="D497" s="6"/>
    </row>
    <row r="498">
      <c r="A498" s="19"/>
      <c r="B498" s="19"/>
      <c r="C498" s="6"/>
      <c r="D498" s="6"/>
    </row>
    <row r="499">
      <c r="A499" s="19"/>
      <c r="B499" s="19"/>
      <c r="C499" s="6"/>
      <c r="D499" s="6"/>
    </row>
    <row r="500">
      <c r="A500" s="19"/>
      <c r="B500" s="19"/>
      <c r="C500" s="6"/>
      <c r="D500" s="6"/>
    </row>
    <row r="501">
      <c r="A501" s="19"/>
      <c r="B501" s="19"/>
      <c r="C501" s="4"/>
      <c r="D501" s="4"/>
    </row>
    <row r="502">
      <c r="A502" s="19"/>
      <c r="B502" s="19"/>
      <c r="C502" s="6"/>
      <c r="D502" s="6"/>
    </row>
    <row r="503">
      <c r="A503" s="19"/>
      <c r="B503" s="19"/>
      <c r="C503" s="6"/>
      <c r="D503" s="6"/>
    </row>
    <row r="504">
      <c r="A504" s="19"/>
      <c r="B504" s="19"/>
      <c r="C504" s="6"/>
      <c r="D504" s="6"/>
    </row>
    <row r="505">
      <c r="A505" s="19"/>
      <c r="B505" s="19"/>
      <c r="C505" s="6"/>
      <c r="D505" s="6"/>
    </row>
    <row r="506">
      <c r="A506" s="19"/>
      <c r="B506" s="19"/>
      <c r="C506" s="6"/>
      <c r="D506" s="6"/>
    </row>
    <row r="507">
      <c r="A507" s="19"/>
      <c r="B507" s="19"/>
      <c r="C507" s="6"/>
      <c r="D507" s="6"/>
    </row>
    <row r="508">
      <c r="A508" s="19"/>
      <c r="B508" s="19"/>
      <c r="C508" s="6"/>
      <c r="D508" s="6"/>
    </row>
    <row r="509">
      <c r="A509" s="19"/>
      <c r="B509" s="19"/>
      <c r="C509" s="6"/>
      <c r="D509" s="6"/>
    </row>
    <row r="510">
      <c r="A510" s="19"/>
      <c r="B510" s="19"/>
      <c r="C510" s="6"/>
      <c r="D510" s="6"/>
    </row>
    <row r="511">
      <c r="A511" s="19"/>
      <c r="B511" s="19"/>
      <c r="C511" s="6"/>
      <c r="D511" s="6"/>
    </row>
    <row r="512">
      <c r="A512" s="19"/>
      <c r="B512" s="19"/>
      <c r="C512" s="6"/>
      <c r="D512" s="6"/>
    </row>
    <row r="513">
      <c r="A513" s="19"/>
      <c r="B513" s="19"/>
      <c r="C513" s="6"/>
      <c r="D513" s="6"/>
    </row>
    <row r="514">
      <c r="A514" s="19"/>
      <c r="B514" s="19"/>
      <c r="C514" s="6"/>
      <c r="D514" s="6"/>
    </row>
    <row r="515">
      <c r="A515" s="19"/>
      <c r="B515" s="19"/>
      <c r="C515" s="6"/>
      <c r="D515" s="6"/>
    </row>
    <row r="516">
      <c r="A516" s="19"/>
      <c r="B516" s="19"/>
      <c r="C516" s="6"/>
      <c r="D516" s="6"/>
    </row>
    <row r="517">
      <c r="A517" s="19"/>
      <c r="B517" s="19"/>
      <c r="C517" s="6"/>
      <c r="D517" s="6"/>
    </row>
    <row r="518">
      <c r="A518" s="19"/>
      <c r="B518" s="19"/>
      <c r="C518" s="6"/>
      <c r="D518" s="6"/>
    </row>
    <row r="519">
      <c r="A519" s="19"/>
      <c r="B519" s="19"/>
      <c r="C519" s="6"/>
      <c r="D519" s="6"/>
    </row>
    <row r="520">
      <c r="A520" s="19"/>
      <c r="B520" s="19"/>
      <c r="C520" s="6"/>
      <c r="D520" s="6"/>
    </row>
    <row r="521">
      <c r="A521" s="19"/>
      <c r="B521" s="19"/>
      <c r="C521" s="4"/>
      <c r="D521" s="4"/>
    </row>
    <row r="522">
      <c r="A522" s="19"/>
      <c r="B522" s="19"/>
      <c r="C522" s="6"/>
      <c r="D522" s="6"/>
    </row>
    <row r="523">
      <c r="A523" s="19"/>
      <c r="B523" s="19"/>
      <c r="C523" s="6"/>
      <c r="D523" s="6"/>
    </row>
    <row r="524">
      <c r="A524" s="19"/>
      <c r="B524" s="19"/>
      <c r="C524" s="6"/>
      <c r="D524" s="6"/>
    </row>
    <row r="525">
      <c r="A525" s="19"/>
      <c r="B525" s="19"/>
      <c r="C525" s="6"/>
      <c r="D525" s="6"/>
    </row>
    <row r="526">
      <c r="A526" s="19"/>
      <c r="B526" s="19"/>
      <c r="C526" s="6"/>
      <c r="D526" s="6"/>
    </row>
    <row r="527">
      <c r="A527" s="19"/>
      <c r="B527" s="19"/>
      <c r="C527" s="6"/>
      <c r="D527" s="6"/>
    </row>
    <row r="528">
      <c r="A528" s="19"/>
      <c r="B528" s="19"/>
      <c r="C528" s="6"/>
      <c r="D528" s="6"/>
    </row>
    <row r="529">
      <c r="A529" s="19"/>
      <c r="B529" s="19"/>
      <c r="C529" s="6"/>
      <c r="D529" s="6"/>
    </row>
    <row r="530">
      <c r="A530" s="19"/>
      <c r="B530" s="19"/>
      <c r="C530" s="6"/>
      <c r="D530" s="6"/>
    </row>
    <row r="531">
      <c r="A531" s="19"/>
      <c r="B531" s="19"/>
      <c r="C531" s="6"/>
      <c r="D531" s="6"/>
    </row>
    <row r="532">
      <c r="A532" s="19"/>
      <c r="B532" s="19"/>
      <c r="C532" s="6"/>
      <c r="D532" s="6"/>
    </row>
    <row r="533">
      <c r="A533" s="19"/>
      <c r="B533" s="19"/>
      <c r="C533" s="6"/>
      <c r="D533" s="6"/>
    </row>
    <row r="534">
      <c r="A534" s="19"/>
      <c r="B534" s="19"/>
      <c r="C534" s="6"/>
      <c r="D534" s="6"/>
    </row>
    <row r="535">
      <c r="A535" s="19"/>
      <c r="B535" s="19"/>
      <c r="C535" s="6"/>
      <c r="D535" s="6"/>
    </row>
    <row r="536">
      <c r="A536" s="19"/>
      <c r="B536" s="19"/>
      <c r="C536" s="6"/>
      <c r="D536" s="6"/>
    </row>
    <row r="537">
      <c r="A537" s="19"/>
      <c r="B537" s="19"/>
      <c r="C537" s="6"/>
      <c r="D537" s="6"/>
    </row>
    <row r="538">
      <c r="A538" s="19"/>
      <c r="B538" s="19"/>
      <c r="C538" s="6"/>
      <c r="D538" s="6"/>
    </row>
    <row r="539">
      <c r="A539" s="19"/>
      <c r="B539" s="19"/>
      <c r="C539" s="6"/>
      <c r="D539" s="6"/>
    </row>
    <row r="540">
      <c r="A540" s="19"/>
      <c r="B540" s="19"/>
      <c r="C540" s="6"/>
      <c r="D540" s="6"/>
    </row>
    <row r="541">
      <c r="A541" s="19"/>
      <c r="B541" s="19"/>
      <c r="C541" s="4"/>
      <c r="D541" s="4"/>
    </row>
    <row r="542">
      <c r="A542" s="19"/>
      <c r="B542" s="19"/>
      <c r="C542" s="6"/>
      <c r="D542" s="6"/>
    </row>
    <row r="543">
      <c r="A543" s="19"/>
      <c r="B543" s="19"/>
      <c r="C543" s="6"/>
      <c r="D543" s="6"/>
    </row>
    <row r="544">
      <c r="A544" s="19"/>
      <c r="B544" s="19"/>
      <c r="C544" s="6"/>
      <c r="D544" s="6"/>
    </row>
    <row r="545">
      <c r="A545" s="19"/>
      <c r="B545" s="19"/>
      <c r="C545" s="6"/>
      <c r="D545" s="6"/>
    </row>
    <row r="546">
      <c r="A546" s="19"/>
      <c r="B546" s="19"/>
      <c r="C546" s="6"/>
      <c r="D546" s="6"/>
    </row>
    <row r="547">
      <c r="A547" s="19"/>
      <c r="B547" s="19"/>
      <c r="C547" s="6"/>
      <c r="D547" s="6"/>
    </row>
    <row r="548">
      <c r="A548" s="19"/>
      <c r="B548" s="19"/>
      <c r="C548" s="6"/>
      <c r="D548" s="6"/>
    </row>
    <row r="549">
      <c r="A549" s="19"/>
      <c r="B549" s="19"/>
      <c r="C549" s="6"/>
      <c r="D549" s="6"/>
    </row>
    <row r="550">
      <c r="A550" s="19"/>
      <c r="B550" s="19"/>
      <c r="C550" s="6"/>
      <c r="D550" s="6"/>
    </row>
    <row r="551">
      <c r="A551" s="19"/>
      <c r="B551" s="19"/>
      <c r="C551" s="6"/>
      <c r="D551" s="6"/>
    </row>
    <row r="552">
      <c r="A552" s="19"/>
      <c r="B552" s="19"/>
      <c r="C552" s="6"/>
      <c r="D552" s="6"/>
    </row>
    <row r="553">
      <c r="A553" s="19"/>
      <c r="B553" s="19"/>
      <c r="C553" s="6"/>
      <c r="D553" s="6"/>
    </row>
    <row r="554">
      <c r="A554" s="19"/>
      <c r="B554" s="19"/>
      <c r="C554" s="6"/>
      <c r="D554" s="6"/>
    </row>
    <row r="555">
      <c r="A555" s="19"/>
      <c r="B555" s="19"/>
      <c r="C555" s="6"/>
      <c r="D555" s="6"/>
    </row>
    <row r="556">
      <c r="A556" s="19"/>
      <c r="B556" s="19"/>
      <c r="C556" s="6"/>
      <c r="D556" s="6"/>
    </row>
    <row r="557">
      <c r="A557" s="19"/>
      <c r="B557" s="19"/>
      <c r="C557" s="6"/>
      <c r="D557" s="6"/>
    </row>
    <row r="558">
      <c r="A558" s="19"/>
      <c r="B558" s="19"/>
      <c r="C558" s="6"/>
      <c r="D558" s="6"/>
    </row>
    <row r="559">
      <c r="A559" s="19"/>
      <c r="B559" s="19"/>
      <c r="C559" s="6"/>
      <c r="D559" s="6"/>
    </row>
    <row r="560">
      <c r="A560" s="19"/>
      <c r="B560" s="19"/>
      <c r="C560" s="6"/>
      <c r="D560" s="6"/>
    </row>
    <row r="561">
      <c r="A561" s="19"/>
      <c r="B561" s="19"/>
      <c r="C561" s="4"/>
      <c r="D561" s="4"/>
    </row>
    <row r="562">
      <c r="A562" s="19"/>
      <c r="B562" s="19"/>
      <c r="C562" s="6"/>
      <c r="D562" s="6"/>
    </row>
    <row r="563">
      <c r="A563" s="19"/>
      <c r="B563" s="19"/>
      <c r="C563" s="6"/>
      <c r="D563" s="6"/>
    </row>
    <row r="564">
      <c r="A564" s="19"/>
      <c r="B564" s="19"/>
      <c r="C564" s="6"/>
      <c r="D564" s="6"/>
    </row>
    <row r="565">
      <c r="A565" s="19"/>
      <c r="B565" s="19"/>
      <c r="C565" s="6"/>
      <c r="D565" s="6"/>
    </row>
    <row r="566">
      <c r="A566" s="19"/>
      <c r="B566" s="19"/>
      <c r="C566" s="6"/>
      <c r="D566" s="6"/>
    </row>
    <row r="567">
      <c r="A567" s="19"/>
      <c r="B567" s="19"/>
      <c r="C567" s="6"/>
      <c r="D567" s="6"/>
    </row>
    <row r="568">
      <c r="A568" s="19"/>
      <c r="B568" s="19"/>
      <c r="C568" s="6"/>
      <c r="D568" s="6"/>
    </row>
    <row r="569">
      <c r="A569" s="19"/>
      <c r="B569" s="19"/>
      <c r="C569" s="6"/>
      <c r="D569" s="6"/>
    </row>
    <row r="570">
      <c r="A570" s="19"/>
      <c r="B570" s="19"/>
      <c r="C570" s="6"/>
      <c r="D570" s="6"/>
    </row>
    <row r="571">
      <c r="A571" s="19"/>
      <c r="B571" s="19"/>
      <c r="C571" s="6"/>
      <c r="D571" s="6"/>
    </row>
    <row r="572">
      <c r="A572" s="19"/>
      <c r="B572" s="19"/>
      <c r="C572" s="6"/>
      <c r="D572" s="6"/>
    </row>
    <row r="573">
      <c r="A573" s="19"/>
      <c r="B573" s="19"/>
      <c r="C573" s="6"/>
      <c r="D573" s="6"/>
    </row>
    <row r="574">
      <c r="A574" s="19"/>
      <c r="B574" s="19"/>
      <c r="C574" s="6"/>
      <c r="D574" s="6"/>
    </row>
    <row r="575">
      <c r="A575" s="19"/>
      <c r="B575" s="19"/>
      <c r="C575" s="6"/>
      <c r="D575" s="6"/>
    </row>
    <row r="576">
      <c r="A576" s="19"/>
      <c r="B576" s="19"/>
      <c r="C576" s="6"/>
      <c r="D576" s="6"/>
    </row>
    <row r="577">
      <c r="A577" s="19"/>
      <c r="B577" s="19"/>
      <c r="C577" s="6"/>
      <c r="D577" s="6"/>
    </row>
    <row r="578">
      <c r="A578" s="19"/>
      <c r="B578" s="19"/>
      <c r="C578" s="6"/>
      <c r="D578" s="6"/>
    </row>
    <row r="579">
      <c r="A579" s="19"/>
      <c r="B579" s="19"/>
      <c r="C579" s="6"/>
      <c r="D579" s="6"/>
    </row>
    <row r="580">
      <c r="A580" s="19"/>
      <c r="B580" s="19"/>
      <c r="C580" s="6"/>
      <c r="D580" s="6"/>
    </row>
    <row r="581">
      <c r="A581" s="19"/>
      <c r="B581" s="19"/>
      <c r="C581" s="4"/>
      <c r="D581" s="4"/>
    </row>
    <row r="582">
      <c r="A582" s="19"/>
      <c r="B582" s="19"/>
      <c r="C582" s="6"/>
      <c r="D582" s="6"/>
    </row>
    <row r="583">
      <c r="A583" s="19"/>
      <c r="B583" s="19"/>
      <c r="C583" s="6"/>
      <c r="D583" s="6"/>
    </row>
    <row r="584">
      <c r="A584" s="19"/>
      <c r="B584" s="19"/>
      <c r="C584" s="6"/>
      <c r="D584" s="6"/>
    </row>
    <row r="585">
      <c r="A585" s="19"/>
      <c r="B585" s="19"/>
      <c r="C585" s="6"/>
      <c r="D585" s="6"/>
    </row>
    <row r="586">
      <c r="A586" s="19"/>
      <c r="B586" s="19"/>
      <c r="C586" s="6"/>
      <c r="D586" s="6"/>
    </row>
    <row r="587">
      <c r="A587" s="19"/>
      <c r="B587" s="19"/>
      <c r="C587" s="6"/>
      <c r="D587" s="6"/>
    </row>
    <row r="588">
      <c r="A588" s="19"/>
      <c r="B588" s="19"/>
      <c r="C588" s="6"/>
      <c r="D588" s="6"/>
    </row>
    <row r="589">
      <c r="A589" s="19"/>
      <c r="B589" s="19"/>
      <c r="C589" s="6"/>
      <c r="D589" s="6"/>
    </row>
    <row r="590">
      <c r="A590" s="19"/>
      <c r="B590" s="19"/>
      <c r="C590" s="6"/>
      <c r="D590" s="6"/>
    </row>
    <row r="591">
      <c r="A591" s="19"/>
      <c r="B591" s="19"/>
      <c r="C591" s="6"/>
      <c r="D591" s="6"/>
    </row>
    <row r="592">
      <c r="A592" s="19"/>
      <c r="B592" s="19"/>
      <c r="C592" s="6"/>
      <c r="D592" s="6"/>
    </row>
    <row r="593">
      <c r="A593" s="19"/>
      <c r="B593" s="19"/>
      <c r="C593" s="6"/>
      <c r="D593" s="6"/>
    </row>
    <row r="594">
      <c r="A594" s="19"/>
      <c r="B594" s="19"/>
      <c r="C594" s="6"/>
      <c r="D594" s="6"/>
    </row>
    <row r="595">
      <c r="A595" s="19"/>
      <c r="B595" s="19"/>
      <c r="C595" s="6"/>
      <c r="D595" s="6"/>
    </row>
    <row r="596">
      <c r="A596" s="19"/>
      <c r="B596" s="19"/>
      <c r="C596" s="6"/>
      <c r="D596" s="6"/>
    </row>
    <row r="597">
      <c r="A597" s="19"/>
      <c r="B597" s="19"/>
      <c r="C597" s="6"/>
      <c r="D597" s="6"/>
    </row>
    <row r="598">
      <c r="A598" s="19"/>
      <c r="B598" s="19"/>
      <c r="C598" s="6"/>
      <c r="D598" s="6"/>
    </row>
    <row r="599">
      <c r="A599" s="19"/>
      <c r="B599" s="19"/>
      <c r="C599" s="6"/>
      <c r="D599" s="6"/>
    </row>
    <row r="600">
      <c r="A600" s="19"/>
      <c r="B600" s="19"/>
      <c r="C600" s="6"/>
      <c r="D600" s="6"/>
    </row>
    <row r="601">
      <c r="A601" s="19"/>
      <c r="B601" s="19"/>
      <c r="C601" s="4"/>
      <c r="D601" s="4"/>
    </row>
    <row r="602">
      <c r="A602" s="19"/>
      <c r="B602" s="19"/>
      <c r="C602" s="6"/>
      <c r="D602" s="6"/>
    </row>
    <row r="603">
      <c r="A603" s="19"/>
      <c r="B603" s="19"/>
      <c r="C603" s="6"/>
      <c r="D603" s="6"/>
    </row>
    <row r="604">
      <c r="A604" s="19"/>
      <c r="B604" s="19"/>
      <c r="C604" s="6"/>
      <c r="D604" s="6"/>
    </row>
    <row r="605">
      <c r="A605" s="19"/>
      <c r="B605" s="19"/>
      <c r="C605" s="6"/>
      <c r="D605" s="6"/>
    </row>
    <row r="606">
      <c r="A606" s="19"/>
      <c r="B606" s="19"/>
      <c r="C606" s="6"/>
      <c r="D606" s="6"/>
    </row>
    <row r="607">
      <c r="A607" s="19"/>
      <c r="B607" s="19"/>
      <c r="C607" s="6"/>
      <c r="D607" s="6"/>
    </row>
    <row r="608">
      <c r="A608" s="19"/>
      <c r="B608" s="19"/>
      <c r="C608" s="6"/>
      <c r="D608" s="6"/>
    </row>
    <row r="609">
      <c r="A609" s="19"/>
      <c r="B609" s="19"/>
      <c r="C609" s="6"/>
      <c r="D609" s="6"/>
    </row>
    <row r="610">
      <c r="A610" s="19"/>
      <c r="B610" s="19"/>
      <c r="C610" s="6"/>
      <c r="D610" s="6"/>
    </row>
    <row r="611">
      <c r="A611" s="19"/>
      <c r="B611" s="19"/>
      <c r="C611" s="6"/>
      <c r="D611" s="6"/>
    </row>
    <row r="612">
      <c r="A612" s="19"/>
      <c r="B612" s="19"/>
      <c r="C612" s="6"/>
      <c r="D612" s="6"/>
    </row>
    <row r="613">
      <c r="A613" s="19"/>
      <c r="B613" s="19"/>
      <c r="C613" s="6"/>
      <c r="D613" s="6"/>
    </row>
    <row r="614">
      <c r="A614" s="19"/>
      <c r="B614" s="19"/>
      <c r="C614" s="6"/>
      <c r="D614" s="6"/>
    </row>
    <row r="615">
      <c r="A615" s="19"/>
      <c r="B615" s="19"/>
      <c r="C615" s="6"/>
      <c r="D615" s="6"/>
    </row>
    <row r="616">
      <c r="A616" s="19"/>
      <c r="B616" s="19"/>
      <c r="C616" s="6"/>
      <c r="D616" s="6"/>
    </row>
    <row r="617">
      <c r="A617" s="19"/>
      <c r="B617" s="19"/>
      <c r="C617" s="6"/>
      <c r="D617" s="6"/>
    </row>
    <row r="618">
      <c r="A618" s="19"/>
      <c r="B618" s="19"/>
      <c r="C618" s="6"/>
      <c r="D618" s="6"/>
    </row>
    <row r="619">
      <c r="A619" s="19"/>
      <c r="B619" s="19"/>
      <c r="C619" s="6"/>
      <c r="D619" s="6"/>
    </row>
    <row r="620">
      <c r="A620" s="19"/>
      <c r="B620" s="19"/>
      <c r="C620" s="6"/>
      <c r="D620" s="6"/>
    </row>
    <row r="621">
      <c r="A621" s="19"/>
      <c r="B621" s="19"/>
      <c r="C621" s="4"/>
      <c r="D621" s="4"/>
    </row>
    <row r="622">
      <c r="A622" s="19"/>
      <c r="B622" s="19"/>
      <c r="C622" s="6"/>
      <c r="D622" s="6"/>
    </row>
    <row r="623">
      <c r="A623" s="19"/>
      <c r="B623" s="19"/>
      <c r="C623" s="6"/>
      <c r="D623" s="6"/>
    </row>
    <row r="624">
      <c r="A624" s="19"/>
      <c r="B624" s="19"/>
      <c r="C624" s="6"/>
      <c r="D624" s="6"/>
    </row>
    <row r="625">
      <c r="A625" s="19"/>
      <c r="B625" s="19"/>
      <c r="C625" s="6"/>
      <c r="D625" s="6"/>
    </row>
    <row r="626">
      <c r="A626" s="19"/>
      <c r="B626" s="19"/>
      <c r="C626" s="6"/>
      <c r="D626" s="6"/>
    </row>
    <row r="627">
      <c r="A627" s="19"/>
      <c r="B627" s="19"/>
      <c r="C627" s="6"/>
      <c r="D627" s="6"/>
    </row>
    <row r="628">
      <c r="A628" s="19"/>
      <c r="B628" s="19"/>
      <c r="C628" s="6"/>
      <c r="D628" s="6"/>
    </row>
    <row r="629">
      <c r="A629" s="19"/>
      <c r="B629" s="19"/>
      <c r="C629" s="6"/>
      <c r="D629" s="6"/>
    </row>
    <row r="630">
      <c r="A630" s="19"/>
      <c r="B630" s="19"/>
      <c r="C630" s="6"/>
      <c r="D630" s="6"/>
    </row>
    <row r="631">
      <c r="A631" s="19"/>
      <c r="B631" s="19"/>
      <c r="C631" s="6"/>
      <c r="D631" s="6"/>
    </row>
    <row r="632">
      <c r="A632" s="19"/>
      <c r="B632" s="19"/>
      <c r="C632" s="6"/>
      <c r="D632" s="6"/>
    </row>
    <row r="633">
      <c r="A633" s="19"/>
      <c r="B633" s="19"/>
      <c r="C633" s="6"/>
      <c r="D633" s="6"/>
    </row>
    <row r="634">
      <c r="A634" s="19"/>
      <c r="B634" s="19"/>
      <c r="C634" s="6"/>
      <c r="D634" s="6"/>
    </row>
    <row r="635">
      <c r="A635" s="19"/>
      <c r="B635" s="19"/>
      <c r="C635" s="6"/>
      <c r="D635" s="6"/>
    </row>
    <row r="636">
      <c r="A636" s="19"/>
      <c r="B636" s="19"/>
      <c r="C636" s="6"/>
      <c r="D636" s="6"/>
    </row>
    <row r="637">
      <c r="A637" s="19"/>
      <c r="B637" s="19"/>
      <c r="C637" s="6"/>
      <c r="D637" s="6"/>
    </row>
    <row r="638">
      <c r="A638" s="19"/>
      <c r="B638" s="19"/>
      <c r="C638" s="6"/>
      <c r="D638" s="6"/>
    </row>
    <row r="639">
      <c r="A639" s="19"/>
      <c r="B639" s="19"/>
      <c r="C639" s="6"/>
      <c r="D639" s="6"/>
    </row>
    <row r="640">
      <c r="A640" s="19"/>
      <c r="B640" s="19"/>
      <c r="C640" s="6"/>
      <c r="D640" s="6"/>
    </row>
    <row r="641">
      <c r="A641" s="19"/>
      <c r="B641" s="19"/>
      <c r="C641" s="4"/>
      <c r="D641" s="4"/>
    </row>
    <row r="642">
      <c r="A642" s="19"/>
      <c r="B642" s="19"/>
      <c r="C642" s="6"/>
      <c r="D642" s="6"/>
    </row>
    <row r="643">
      <c r="A643" s="19"/>
      <c r="B643" s="19"/>
      <c r="C643" s="6"/>
      <c r="D643" s="6"/>
    </row>
    <row r="644">
      <c r="A644" s="19"/>
      <c r="B644" s="19"/>
      <c r="C644" s="6"/>
      <c r="D644" s="6"/>
    </row>
    <row r="645">
      <c r="A645" s="19"/>
      <c r="B645" s="19"/>
      <c r="C645" s="6"/>
      <c r="D645" s="6"/>
    </row>
    <row r="646">
      <c r="A646" s="19"/>
      <c r="B646" s="19"/>
      <c r="C646" s="6"/>
      <c r="D646" s="6"/>
    </row>
    <row r="647">
      <c r="A647" s="19"/>
      <c r="B647" s="19"/>
      <c r="C647" s="6"/>
      <c r="D647" s="6"/>
    </row>
    <row r="648">
      <c r="A648" s="19"/>
      <c r="B648" s="19"/>
      <c r="C648" s="6"/>
      <c r="D648" s="6"/>
    </row>
    <row r="649">
      <c r="A649" s="19"/>
      <c r="B649" s="19"/>
      <c r="C649" s="6"/>
      <c r="D649" s="6"/>
    </row>
    <row r="650">
      <c r="A650" s="19"/>
      <c r="B650" s="19"/>
      <c r="C650" s="6"/>
      <c r="D650" s="6"/>
    </row>
    <row r="651">
      <c r="A651" s="19"/>
      <c r="B651" s="19"/>
      <c r="C651" s="6"/>
      <c r="D651" s="6"/>
    </row>
    <row r="652">
      <c r="A652" s="19"/>
      <c r="B652" s="19"/>
      <c r="C652" s="6"/>
      <c r="D652" s="6"/>
    </row>
    <row r="653">
      <c r="A653" s="19"/>
      <c r="B653" s="19"/>
      <c r="C653" s="6"/>
      <c r="D653" s="6"/>
    </row>
    <row r="654">
      <c r="A654" s="19"/>
      <c r="B654" s="19"/>
      <c r="C654" s="6"/>
      <c r="D654" s="6"/>
    </row>
    <row r="655">
      <c r="A655" s="19"/>
      <c r="B655" s="19"/>
      <c r="C655" s="6"/>
      <c r="D655" s="6"/>
    </row>
    <row r="656">
      <c r="A656" s="19"/>
      <c r="B656" s="19"/>
      <c r="C656" s="6"/>
      <c r="D656" s="6"/>
    </row>
    <row r="657">
      <c r="A657" s="19"/>
      <c r="B657" s="19"/>
      <c r="C657" s="6"/>
      <c r="D657" s="6"/>
    </row>
    <row r="658">
      <c r="A658" s="19"/>
      <c r="B658" s="19"/>
      <c r="C658" s="6"/>
      <c r="D658" s="6"/>
    </row>
    <row r="659">
      <c r="A659" s="19"/>
      <c r="B659" s="19"/>
      <c r="C659" s="6"/>
      <c r="D659" s="6"/>
    </row>
    <row r="660">
      <c r="A660" s="19"/>
      <c r="B660" s="19"/>
      <c r="C660" s="6"/>
      <c r="D660" s="6"/>
    </row>
    <row r="661">
      <c r="A661" s="19"/>
      <c r="B661" s="19"/>
      <c r="C661" s="4"/>
      <c r="D661" s="4"/>
    </row>
    <row r="662">
      <c r="A662" s="19"/>
      <c r="B662" s="19"/>
      <c r="C662" s="6"/>
      <c r="D662" s="6"/>
    </row>
    <row r="663">
      <c r="A663" s="19"/>
      <c r="B663" s="19"/>
      <c r="C663" s="6"/>
      <c r="D663" s="6"/>
    </row>
    <row r="664">
      <c r="A664" s="19"/>
      <c r="B664" s="19"/>
      <c r="C664" s="6"/>
      <c r="D664" s="6"/>
    </row>
    <row r="665">
      <c r="A665" s="19"/>
      <c r="B665" s="19"/>
      <c r="C665" s="6"/>
      <c r="D665" s="6"/>
    </row>
    <row r="666">
      <c r="A666" s="19"/>
      <c r="B666" s="19"/>
      <c r="C666" s="6"/>
      <c r="D666" s="6"/>
    </row>
    <row r="667">
      <c r="A667" s="19"/>
      <c r="B667" s="19"/>
      <c r="C667" s="6"/>
      <c r="D667" s="6"/>
    </row>
    <row r="668">
      <c r="A668" s="19"/>
      <c r="B668" s="19"/>
      <c r="C668" s="6"/>
      <c r="D668" s="6"/>
    </row>
    <row r="669">
      <c r="A669" s="19"/>
      <c r="B669" s="19"/>
      <c r="C669" s="6"/>
      <c r="D669" s="6"/>
    </row>
    <row r="670">
      <c r="A670" s="19"/>
      <c r="B670" s="19"/>
      <c r="C670" s="6"/>
      <c r="D670" s="6"/>
    </row>
    <row r="671">
      <c r="A671" s="19"/>
      <c r="B671" s="19"/>
      <c r="C671" s="6"/>
      <c r="D671" s="6"/>
    </row>
    <row r="672">
      <c r="A672" s="19"/>
      <c r="B672" s="19"/>
      <c r="C672" s="6"/>
      <c r="D672" s="6"/>
    </row>
    <row r="673">
      <c r="A673" s="19"/>
      <c r="B673" s="19"/>
      <c r="C673" s="6"/>
      <c r="D673" s="6"/>
    </row>
    <row r="674">
      <c r="A674" s="19"/>
      <c r="B674" s="19"/>
      <c r="C674" s="6"/>
      <c r="D674" s="6"/>
    </row>
    <row r="675">
      <c r="A675" s="19"/>
      <c r="B675" s="19"/>
      <c r="C675" s="6"/>
      <c r="D675" s="6"/>
    </row>
    <row r="676">
      <c r="A676" s="19"/>
      <c r="B676" s="19"/>
      <c r="C676" s="6"/>
      <c r="D676" s="6"/>
    </row>
    <row r="677">
      <c r="A677" s="19"/>
      <c r="B677" s="19"/>
      <c r="C677" s="6"/>
      <c r="D677" s="6"/>
    </row>
    <row r="678">
      <c r="A678" s="19"/>
      <c r="B678" s="19"/>
      <c r="C678" s="6"/>
      <c r="D678" s="6"/>
    </row>
    <row r="679">
      <c r="A679" s="19"/>
      <c r="B679" s="19"/>
      <c r="C679" s="6"/>
      <c r="D679" s="6"/>
    </row>
    <row r="680">
      <c r="A680" s="19"/>
      <c r="B680" s="19"/>
      <c r="C680" s="6"/>
      <c r="D680" s="6"/>
    </row>
    <row r="681">
      <c r="A681" s="19"/>
      <c r="B681" s="19"/>
      <c r="C681" s="4"/>
      <c r="D681" s="4"/>
    </row>
    <row r="682">
      <c r="A682" s="19"/>
      <c r="B682" s="19"/>
      <c r="C682" s="6"/>
      <c r="D682" s="6"/>
    </row>
    <row r="683">
      <c r="A683" s="19"/>
      <c r="B683" s="19"/>
      <c r="C683" s="6"/>
      <c r="D683" s="6"/>
    </row>
    <row r="684">
      <c r="A684" s="19"/>
      <c r="B684" s="19"/>
      <c r="C684" s="6"/>
      <c r="D684" s="6"/>
    </row>
    <row r="685">
      <c r="A685" s="19"/>
      <c r="B685" s="19"/>
      <c r="C685" s="6"/>
      <c r="D685" s="6"/>
    </row>
    <row r="686">
      <c r="A686" s="19"/>
      <c r="B686" s="19"/>
      <c r="C686" s="6"/>
      <c r="D686" s="6"/>
    </row>
    <row r="687">
      <c r="A687" s="19"/>
      <c r="B687" s="19"/>
      <c r="C687" s="6"/>
      <c r="D687" s="6"/>
    </row>
    <row r="688">
      <c r="A688" s="19"/>
      <c r="B688" s="19"/>
      <c r="C688" s="6"/>
      <c r="D688" s="6"/>
    </row>
    <row r="689">
      <c r="A689" s="19"/>
      <c r="B689" s="19"/>
      <c r="C689" s="6"/>
      <c r="D689" s="6"/>
    </row>
    <row r="690">
      <c r="A690" s="19"/>
      <c r="B690" s="19"/>
      <c r="C690" s="6"/>
      <c r="D690" s="6"/>
    </row>
    <row r="691">
      <c r="A691" s="19"/>
      <c r="B691" s="19"/>
      <c r="C691" s="6"/>
      <c r="D691" s="6"/>
    </row>
    <row r="692">
      <c r="A692" s="19"/>
      <c r="B692" s="19"/>
      <c r="C692" s="6"/>
      <c r="D692" s="6"/>
    </row>
    <row r="693">
      <c r="A693" s="19"/>
      <c r="B693" s="19"/>
      <c r="C693" s="6"/>
      <c r="D693" s="6"/>
    </row>
    <row r="694">
      <c r="A694" s="19"/>
      <c r="B694" s="19"/>
      <c r="C694" s="6"/>
      <c r="D694" s="6"/>
    </row>
    <row r="695">
      <c r="A695" s="19"/>
      <c r="B695" s="19"/>
      <c r="C695" s="6"/>
      <c r="D695" s="6"/>
    </row>
    <row r="696">
      <c r="A696" s="19"/>
      <c r="B696" s="19"/>
      <c r="C696" s="6"/>
      <c r="D696" s="6"/>
    </row>
    <row r="697">
      <c r="A697" s="19"/>
      <c r="B697" s="19"/>
      <c r="C697" s="6"/>
      <c r="D697" s="6"/>
    </row>
    <row r="698">
      <c r="A698" s="19"/>
      <c r="B698" s="19"/>
      <c r="C698" s="6"/>
      <c r="D698" s="6"/>
    </row>
    <row r="699">
      <c r="A699" s="19"/>
      <c r="B699" s="19"/>
      <c r="C699" s="6"/>
      <c r="D699" s="6"/>
    </row>
    <row r="700">
      <c r="A700" s="19"/>
      <c r="B700" s="19"/>
      <c r="C700" s="6"/>
      <c r="D700" s="6"/>
    </row>
    <row r="701">
      <c r="A701" s="19"/>
      <c r="B701" s="19"/>
      <c r="C701" s="4"/>
      <c r="D701" s="4"/>
    </row>
    <row r="702">
      <c r="A702" s="19"/>
      <c r="B702" s="19"/>
      <c r="C702" s="6"/>
      <c r="D702" s="6"/>
    </row>
    <row r="703">
      <c r="A703" s="19"/>
      <c r="B703" s="19"/>
      <c r="C703" s="6"/>
      <c r="D703" s="6"/>
    </row>
    <row r="704">
      <c r="A704" s="19"/>
      <c r="B704" s="19"/>
      <c r="C704" s="6"/>
      <c r="D704" s="6"/>
    </row>
    <row r="705">
      <c r="A705" s="19"/>
      <c r="B705" s="19"/>
      <c r="C705" s="6"/>
      <c r="D705" s="6"/>
    </row>
    <row r="706">
      <c r="A706" s="19"/>
      <c r="B706" s="19"/>
      <c r="C706" s="6"/>
      <c r="D706" s="6"/>
    </row>
    <row r="707">
      <c r="A707" s="19"/>
      <c r="B707" s="19"/>
      <c r="C707" s="6"/>
      <c r="D707" s="6"/>
    </row>
    <row r="708">
      <c r="A708" s="19"/>
      <c r="B708" s="19"/>
      <c r="C708" s="6"/>
      <c r="D708" s="6"/>
    </row>
    <row r="709">
      <c r="A709" s="19"/>
      <c r="B709" s="19"/>
      <c r="C709" s="6"/>
      <c r="D709" s="6"/>
    </row>
    <row r="710">
      <c r="A710" s="19"/>
      <c r="B710" s="19"/>
      <c r="C710" s="6"/>
      <c r="D710" s="6"/>
    </row>
    <row r="711">
      <c r="A711" s="19"/>
      <c r="B711" s="19"/>
      <c r="C711" s="6"/>
      <c r="D711" s="6"/>
    </row>
    <row r="712">
      <c r="A712" s="19"/>
      <c r="B712" s="19"/>
      <c r="C712" s="6"/>
      <c r="D712" s="6"/>
    </row>
    <row r="713">
      <c r="A713" s="19"/>
      <c r="B713" s="19"/>
      <c r="C713" s="6"/>
      <c r="D713" s="6"/>
    </row>
    <row r="714">
      <c r="A714" s="19"/>
      <c r="B714" s="19"/>
      <c r="C714" s="6"/>
      <c r="D714" s="6"/>
    </row>
    <row r="715">
      <c r="A715" s="19"/>
      <c r="B715" s="19"/>
      <c r="C715" s="6"/>
      <c r="D715" s="6"/>
    </row>
    <row r="716">
      <c r="A716" s="19"/>
      <c r="B716" s="19"/>
      <c r="C716" s="6"/>
      <c r="D716" s="6"/>
    </row>
    <row r="717">
      <c r="A717" s="19"/>
      <c r="B717" s="19"/>
      <c r="C717" s="6"/>
      <c r="D717" s="6"/>
    </row>
    <row r="718">
      <c r="A718" s="19"/>
      <c r="B718" s="19"/>
      <c r="C718" s="6"/>
      <c r="D718" s="6"/>
    </row>
    <row r="719">
      <c r="A719" s="19"/>
      <c r="B719" s="19"/>
      <c r="C719" s="6"/>
      <c r="D719" s="6"/>
    </row>
    <row r="720">
      <c r="A720" s="19"/>
      <c r="B720" s="19"/>
      <c r="C720" s="6"/>
      <c r="D720" s="6"/>
    </row>
    <row r="721">
      <c r="A721" s="19"/>
      <c r="B721" s="19"/>
      <c r="C721" s="4"/>
      <c r="D721" s="4"/>
    </row>
    <row r="722">
      <c r="A722" s="19"/>
      <c r="B722" s="19"/>
      <c r="C722" s="6"/>
      <c r="D722" s="6"/>
    </row>
    <row r="723">
      <c r="A723" s="19"/>
      <c r="B723" s="19"/>
      <c r="C723" s="6"/>
      <c r="D723" s="6"/>
    </row>
    <row r="724">
      <c r="A724" s="19"/>
      <c r="B724" s="19"/>
      <c r="C724" s="6"/>
      <c r="D724" s="6"/>
    </row>
    <row r="725">
      <c r="A725" s="19"/>
      <c r="B725" s="19"/>
      <c r="C725" s="6"/>
      <c r="D725" s="6"/>
    </row>
    <row r="726">
      <c r="A726" s="19"/>
      <c r="B726" s="19"/>
      <c r="C726" s="6"/>
      <c r="D726" s="6"/>
    </row>
    <row r="727">
      <c r="A727" s="19"/>
      <c r="B727" s="19"/>
      <c r="C727" s="6"/>
      <c r="D727" s="6"/>
    </row>
    <row r="728">
      <c r="A728" s="19"/>
      <c r="B728" s="19"/>
      <c r="C728" s="6"/>
      <c r="D728" s="6"/>
    </row>
    <row r="729">
      <c r="A729" s="19"/>
      <c r="B729" s="19"/>
      <c r="C729" s="6"/>
      <c r="D729" s="6"/>
    </row>
    <row r="730">
      <c r="A730" s="19"/>
      <c r="B730" s="19"/>
      <c r="C730" s="6"/>
      <c r="D730" s="6"/>
    </row>
    <row r="731">
      <c r="A731" s="19"/>
      <c r="B731" s="19"/>
      <c r="C731" s="6"/>
      <c r="D731" s="6"/>
    </row>
    <row r="732">
      <c r="A732" s="19"/>
      <c r="B732" s="19"/>
      <c r="C732" s="6"/>
      <c r="D732" s="6"/>
    </row>
    <row r="733">
      <c r="A733" s="19"/>
      <c r="B733" s="19"/>
      <c r="C733" s="6"/>
      <c r="D733" s="6"/>
    </row>
    <row r="734">
      <c r="A734" s="19"/>
      <c r="B734" s="19"/>
      <c r="C734" s="6"/>
      <c r="D734" s="6"/>
    </row>
    <row r="735">
      <c r="A735" s="19"/>
      <c r="B735" s="19"/>
      <c r="C735" s="6"/>
      <c r="D735" s="6"/>
    </row>
    <row r="736">
      <c r="A736" s="19"/>
      <c r="B736" s="19"/>
      <c r="C736" s="6"/>
      <c r="D736" s="6"/>
    </row>
    <row r="737">
      <c r="A737" s="19"/>
      <c r="B737" s="19"/>
      <c r="C737" s="6"/>
      <c r="D737" s="6"/>
    </row>
    <row r="738">
      <c r="A738" s="19"/>
      <c r="B738" s="19"/>
      <c r="C738" s="6"/>
      <c r="D738" s="6"/>
    </row>
    <row r="739">
      <c r="A739" s="19"/>
      <c r="B739" s="19"/>
      <c r="C739" s="6"/>
      <c r="D739" s="6"/>
    </row>
    <row r="740">
      <c r="A740" s="19"/>
      <c r="B740" s="19"/>
      <c r="C740" s="6"/>
      <c r="D740" s="6"/>
    </row>
    <row r="741">
      <c r="A741" s="19"/>
      <c r="B741" s="19"/>
      <c r="C741" s="4"/>
      <c r="D741" s="4"/>
    </row>
    <row r="742">
      <c r="A742" s="19"/>
      <c r="B742" s="19"/>
      <c r="C742" s="6"/>
      <c r="D742" s="6"/>
    </row>
    <row r="743">
      <c r="A743" s="19"/>
      <c r="B743" s="19"/>
      <c r="C743" s="6"/>
      <c r="D743" s="6"/>
    </row>
    <row r="744">
      <c r="A744" s="19"/>
      <c r="B744" s="19"/>
      <c r="C744" s="6"/>
      <c r="D744" s="6"/>
    </row>
    <row r="745">
      <c r="A745" s="19"/>
      <c r="B745" s="19"/>
      <c r="C745" s="6"/>
      <c r="D745" s="6"/>
    </row>
    <row r="746">
      <c r="A746" s="19"/>
      <c r="B746" s="19"/>
      <c r="C746" s="6"/>
      <c r="D746" s="6"/>
    </row>
    <row r="747">
      <c r="A747" s="19"/>
      <c r="B747" s="19"/>
      <c r="C747" s="6"/>
      <c r="D747" s="6"/>
    </row>
    <row r="748">
      <c r="A748" s="19"/>
      <c r="B748" s="19"/>
      <c r="C748" s="6"/>
      <c r="D748" s="6"/>
    </row>
    <row r="749">
      <c r="A749" s="19"/>
      <c r="B749" s="19"/>
      <c r="C749" s="6"/>
      <c r="D749" s="6"/>
    </row>
    <row r="750">
      <c r="A750" s="19"/>
      <c r="B750" s="19"/>
      <c r="C750" s="6"/>
      <c r="D750" s="6"/>
    </row>
    <row r="751">
      <c r="A751" s="19"/>
      <c r="B751" s="19"/>
      <c r="C751" s="6"/>
      <c r="D751" s="6"/>
    </row>
    <row r="752">
      <c r="A752" s="19"/>
      <c r="B752" s="19"/>
      <c r="C752" s="6"/>
      <c r="D752" s="6"/>
    </row>
    <row r="753">
      <c r="A753" s="19"/>
      <c r="B753" s="19"/>
      <c r="C753" s="6"/>
      <c r="D753" s="6"/>
    </row>
    <row r="754">
      <c r="A754" s="19"/>
      <c r="B754" s="19"/>
      <c r="C754" s="6"/>
      <c r="D754" s="6"/>
    </row>
    <row r="755">
      <c r="A755" s="19"/>
      <c r="B755" s="19"/>
      <c r="C755" s="6"/>
      <c r="D755" s="6"/>
    </row>
    <row r="756">
      <c r="A756" s="19"/>
      <c r="B756" s="19"/>
      <c r="C756" s="6"/>
      <c r="D756" s="6"/>
    </row>
    <row r="757">
      <c r="A757" s="19"/>
      <c r="B757" s="19"/>
      <c r="C757" s="6"/>
      <c r="D757" s="6"/>
    </row>
    <row r="758">
      <c r="A758" s="19"/>
      <c r="B758" s="19"/>
      <c r="C758" s="6"/>
      <c r="D758" s="6"/>
    </row>
    <row r="759">
      <c r="A759" s="19"/>
      <c r="B759" s="19"/>
      <c r="C759" s="6"/>
      <c r="D759" s="6"/>
    </row>
    <row r="760">
      <c r="A760" s="19"/>
      <c r="B760" s="19"/>
      <c r="C760" s="6"/>
      <c r="D760" s="6"/>
    </row>
    <row r="761">
      <c r="A761" s="19"/>
      <c r="B761" s="19"/>
      <c r="C761" s="4"/>
      <c r="D761" s="4"/>
    </row>
    <row r="762">
      <c r="A762" s="19"/>
      <c r="B762" s="19"/>
      <c r="C762" s="6"/>
      <c r="D762" s="6"/>
    </row>
    <row r="763">
      <c r="A763" s="19"/>
      <c r="B763" s="19"/>
      <c r="C763" s="6"/>
      <c r="D763" s="6"/>
    </row>
    <row r="764">
      <c r="A764" s="19"/>
      <c r="B764" s="19"/>
      <c r="C764" s="6"/>
      <c r="D764" s="6"/>
    </row>
    <row r="765">
      <c r="A765" s="19"/>
      <c r="B765" s="19"/>
      <c r="C765" s="6"/>
      <c r="D765" s="6"/>
    </row>
    <row r="766">
      <c r="A766" s="19"/>
      <c r="B766" s="19"/>
      <c r="C766" s="6"/>
      <c r="D766" s="6"/>
    </row>
    <row r="767">
      <c r="A767" s="19"/>
      <c r="B767" s="19"/>
      <c r="C767" s="6"/>
      <c r="D767" s="6"/>
    </row>
    <row r="768">
      <c r="A768" s="19"/>
      <c r="B768" s="19"/>
      <c r="C768" s="6"/>
      <c r="D768" s="6"/>
    </row>
    <row r="769">
      <c r="A769" s="19"/>
      <c r="B769" s="19"/>
      <c r="C769" s="6"/>
      <c r="D769" s="6"/>
    </row>
    <row r="770">
      <c r="A770" s="19"/>
      <c r="B770" s="19"/>
      <c r="C770" s="6"/>
      <c r="D770" s="6"/>
    </row>
    <row r="771">
      <c r="A771" s="19"/>
      <c r="B771" s="19"/>
      <c r="C771" s="6"/>
      <c r="D771" s="6"/>
    </row>
    <row r="772">
      <c r="A772" s="19"/>
      <c r="B772" s="19"/>
      <c r="C772" s="6"/>
      <c r="D772" s="6"/>
    </row>
    <row r="773">
      <c r="A773" s="19"/>
      <c r="B773" s="19"/>
      <c r="C773" s="6"/>
      <c r="D773" s="6"/>
    </row>
    <row r="774">
      <c r="A774" s="19"/>
      <c r="B774" s="19"/>
      <c r="C774" s="6"/>
      <c r="D774" s="6"/>
    </row>
    <row r="775">
      <c r="A775" s="19"/>
      <c r="B775" s="19"/>
      <c r="C775" s="6"/>
      <c r="D775" s="6"/>
    </row>
    <row r="776">
      <c r="A776" s="19"/>
      <c r="B776" s="19"/>
      <c r="C776" s="6"/>
      <c r="D776" s="6"/>
    </row>
    <row r="777">
      <c r="A777" s="19"/>
      <c r="B777" s="19"/>
      <c r="C777" s="6"/>
      <c r="D777" s="6"/>
    </row>
    <row r="778">
      <c r="A778" s="19"/>
      <c r="B778" s="19"/>
      <c r="C778" s="6"/>
      <c r="D778" s="6"/>
    </row>
    <row r="779">
      <c r="A779" s="19"/>
      <c r="B779" s="19"/>
      <c r="C779" s="6"/>
      <c r="D779" s="6"/>
    </row>
    <row r="780">
      <c r="A780" s="19"/>
      <c r="B780" s="19"/>
      <c r="C780" s="6"/>
      <c r="D780" s="6"/>
    </row>
    <row r="781">
      <c r="A781" s="19"/>
      <c r="B781" s="19"/>
      <c r="C781" s="4"/>
      <c r="D781" s="4"/>
    </row>
    <row r="782">
      <c r="A782" s="19"/>
      <c r="B782" s="19"/>
      <c r="C782" s="6"/>
      <c r="D782" s="6"/>
    </row>
    <row r="783">
      <c r="A783" s="19"/>
      <c r="B783" s="19"/>
      <c r="C783" s="6"/>
      <c r="D783" s="6"/>
    </row>
    <row r="784">
      <c r="A784" s="19"/>
      <c r="B784" s="19"/>
      <c r="C784" s="6"/>
      <c r="D784" s="6"/>
    </row>
    <row r="785">
      <c r="A785" s="19"/>
      <c r="B785" s="19"/>
      <c r="C785" s="6"/>
      <c r="D785" s="6"/>
    </row>
    <row r="786">
      <c r="A786" s="19"/>
      <c r="B786" s="19"/>
      <c r="C786" s="6"/>
      <c r="D786" s="6"/>
    </row>
    <row r="787">
      <c r="A787" s="19"/>
      <c r="B787" s="19"/>
      <c r="C787" s="6"/>
      <c r="D787" s="6"/>
    </row>
    <row r="788">
      <c r="A788" s="19"/>
      <c r="B788" s="19"/>
      <c r="C788" s="6"/>
      <c r="D788" s="6"/>
    </row>
    <row r="789">
      <c r="A789" s="19"/>
      <c r="B789" s="19"/>
      <c r="C789" s="6"/>
      <c r="D789" s="6"/>
    </row>
    <row r="790">
      <c r="A790" s="19"/>
      <c r="B790" s="19"/>
      <c r="C790" s="6"/>
      <c r="D790" s="6"/>
    </row>
    <row r="791">
      <c r="A791" s="19"/>
      <c r="B791" s="19"/>
      <c r="C791" s="6"/>
      <c r="D791" s="6"/>
    </row>
    <row r="792">
      <c r="A792" s="19"/>
      <c r="B792" s="19"/>
      <c r="C792" s="6"/>
      <c r="D792" s="6"/>
    </row>
    <row r="793">
      <c r="A793" s="19"/>
      <c r="B793" s="19"/>
      <c r="C793" s="6"/>
      <c r="D793" s="6"/>
    </row>
    <row r="794">
      <c r="A794" s="19"/>
      <c r="B794" s="19"/>
      <c r="C794" s="6"/>
      <c r="D794" s="6"/>
    </row>
    <row r="795">
      <c r="A795" s="19"/>
      <c r="B795" s="19"/>
      <c r="C795" s="6"/>
      <c r="D795" s="6"/>
    </row>
    <row r="796">
      <c r="A796" s="19"/>
      <c r="B796" s="19"/>
      <c r="C796" s="6"/>
      <c r="D796" s="6"/>
    </row>
    <row r="797">
      <c r="A797" s="19"/>
      <c r="B797" s="19"/>
      <c r="C797" s="6"/>
      <c r="D797" s="6"/>
    </row>
    <row r="798">
      <c r="A798" s="19"/>
      <c r="B798" s="19"/>
      <c r="C798" s="6"/>
      <c r="D798" s="6"/>
    </row>
    <row r="799">
      <c r="A799" s="19"/>
      <c r="B799" s="19"/>
      <c r="C799" s="6"/>
      <c r="D799" s="6"/>
    </row>
    <row r="800">
      <c r="A800" s="19"/>
      <c r="B800" s="19"/>
      <c r="C800" s="6"/>
      <c r="D800" s="6"/>
    </row>
    <row r="801">
      <c r="A801" s="19"/>
      <c r="B801" s="19"/>
      <c r="C801" s="4"/>
      <c r="D801" s="4"/>
    </row>
    <row r="802">
      <c r="A802" s="19"/>
      <c r="B802" s="19"/>
      <c r="C802" s="6"/>
      <c r="D802" s="6"/>
    </row>
    <row r="803">
      <c r="A803" s="19"/>
      <c r="B803" s="19"/>
      <c r="C803" s="6"/>
      <c r="D803" s="6"/>
    </row>
    <row r="804">
      <c r="A804" s="19"/>
      <c r="B804" s="19"/>
      <c r="C804" s="6"/>
      <c r="D804" s="6"/>
    </row>
    <row r="805">
      <c r="A805" s="19"/>
      <c r="B805" s="19"/>
      <c r="C805" s="6"/>
      <c r="D805" s="6"/>
    </row>
    <row r="806">
      <c r="A806" s="19"/>
      <c r="B806" s="19"/>
      <c r="C806" s="6"/>
      <c r="D806" s="6"/>
    </row>
    <row r="807">
      <c r="A807" s="19"/>
      <c r="B807" s="19"/>
      <c r="C807" s="6"/>
      <c r="D807" s="6"/>
    </row>
    <row r="808">
      <c r="A808" s="19"/>
      <c r="B808" s="19"/>
      <c r="C808" s="6"/>
      <c r="D808" s="6"/>
    </row>
    <row r="809">
      <c r="A809" s="19"/>
      <c r="B809" s="19"/>
      <c r="C809" s="6"/>
      <c r="D809" s="6"/>
    </row>
    <row r="810">
      <c r="A810" s="19"/>
      <c r="B810" s="19"/>
      <c r="C810" s="6"/>
      <c r="D810" s="6"/>
    </row>
    <row r="811">
      <c r="A811" s="19"/>
      <c r="B811" s="19"/>
      <c r="C811" s="6"/>
      <c r="D811" s="6"/>
    </row>
    <row r="812">
      <c r="A812" s="19"/>
      <c r="B812" s="19"/>
      <c r="C812" s="6"/>
      <c r="D812" s="6"/>
    </row>
    <row r="813">
      <c r="A813" s="19"/>
      <c r="B813" s="19"/>
      <c r="C813" s="6"/>
      <c r="D813" s="6"/>
    </row>
    <row r="814">
      <c r="A814" s="19"/>
      <c r="B814" s="19"/>
      <c r="C814" s="6"/>
      <c r="D814" s="6"/>
    </row>
    <row r="815">
      <c r="A815" s="19"/>
      <c r="B815" s="19"/>
      <c r="C815" s="6"/>
      <c r="D815" s="6"/>
    </row>
    <row r="816">
      <c r="A816" s="19"/>
      <c r="B816" s="19"/>
      <c r="C816" s="6"/>
      <c r="D816" s="6"/>
    </row>
    <row r="817">
      <c r="A817" s="19"/>
      <c r="B817" s="19"/>
      <c r="C817" s="6"/>
      <c r="D817" s="6"/>
    </row>
    <row r="818">
      <c r="A818" s="19"/>
      <c r="B818" s="19"/>
      <c r="C818" s="6"/>
      <c r="D818" s="6"/>
    </row>
    <row r="819">
      <c r="A819" s="19"/>
      <c r="B819" s="19"/>
      <c r="C819" s="6"/>
      <c r="D819" s="6"/>
    </row>
    <row r="820">
      <c r="A820" s="19"/>
      <c r="B820" s="19"/>
      <c r="C820" s="6"/>
      <c r="D820" s="6"/>
    </row>
    <row r="821">
      <c r="A821" s="19"/>
      <c r="B821" s="19"/>
      <c r="C821" s="4"/>
      <c r="D821" s="4"/>
    </row>
    <row r="822">
      <c r="A822" s="19"/>
      <c r="B822" s="19"/>
      <c r="C822" s="6"/>
      <c r="D822" s="6"/>
    </row>
    <row r="823">
      <c r="A823" s="19"/>
      <c r="B823" s="19"/>
      <c r="C823" s="6"/>
      <c r="D823" s="6"/>
    </row>
    <row r="824">
      <c r="A824" s="19"/>
      <c r="B824" s="19"/>
      <c r="C824" s="6"/>
      <c r="D824" s="6"/>
    </row>
    <row r="825">
      <c r="A825" s="19"/>
      <c r="B825" s="19"/>
      <c r="C825" s="6"/>
      <c r="D825" s="6"/>
    </row>
    <row r="826">
      <c r="A826" s="19"/>
      <c r="B826" s="19"/>
      <c r="C826" s="6"/>
      <c r="D826" s="6"/>
    </row>
    <row r="827">
      <c r="A827" s="19"/>
      <c r="B827" s="19"/>
      <c r="C827" s="6"/>
      <c r="D827" s="6"/>
    </row>
    <row r="828">
      <c r="A828" s="19"/>
      <c r="B828" s="19"/>
      <c r="C828" s="6"/>
      <c r="D828" s="6"/>
    </row>
    <row r="829">
      <c r="A829" s="19"/>
      <c r="B829" s="19"/>
      <c r="C829" s="6"/>
      <c r="D829" s="6"/>
    </row>
    <row r="830">
      <c r="A830" s="19"/>
      <c r="B830" s="19"/>
      <c r="C830" s="6"/>
      <c r="D830" s="6"/>
    </row>
    <row r="831">
      <c r="A831" s="19"/>
      <c r="B831" s="19"/>
      <c r="C831" s="6"/>
      <c r="D831" s="6"/>
    </row>
    <row r="832">
      <c r="A832" s="19"/>
      <c r="B832" s="19"/>
      <c r="C832" s="6"/>
      <c r="D832" s="6"/>
    </row>
    <row r="833">
      <c r="A833" s="19"/>
      <c r="B833" s="19"/>
      <c r="C833" s="6"/>
      <c r="D833" s="6"/>
    </row>
    <row r="834">
      <c r="A834" s="19"/>
      <c r="B834" s="19"/>
      <c r="C834" s="6"/>
      <c r="D834" s="6"/>
    </row>
    <row r="835">
      <c r="A835" s="19"/>
      <c r="B835" s="19"/>
      <c r="C835" s="6"/>
      <c r="D835" s="6"/>
    </row>
    <row r="836">
      <c r="A836" s="19"/>
      <c r="B836" s="19"/>
      <c r="C836" s="6"/>
      <c r="D836" s="6"/>
    </row>
    <row r="837">
      <c r="A837" s="19"/>
      <c r="B837" s="19"/>
      <c r="C837" s="6"/>
      <c r="D837" s="6"/>
    </row>
    <row r="838">
      <c r="A838" s="19"/>
      <c r="B838" s="19"/>
      <c r="C838" s="6"/>
      <c r="D838" s="6"/>
    </row>
    <row r="839">
      <c r="A839" s="19"/>
      <c r="B839" s="19"/>
      <c r="C839" s="6"/>
      <c r="D839" s="6"/>
    </row>
    <row r="840">
      <c r="A840" s="19"/>
      <c r="B840" s="19"/>
      <c r="C840" s="6"/>
      <c r="D840" s="6"/>
    </row>
    <row r="841">
      <c r="A841" s="19"/>
      <c r="B841" s="19"/>
      <c r="C841" s="4"/>
      <c r="D841" s="4"/>
    </row>
    <row r="842">
      <c r="A842" s="19"/>
      <c r="B842" s="19"/>
      <c r="C842" s="6"/>
      <c r="D842" s="6"/>
    </row>
    <row r="843">
      <c r="A843" s="19"/>
      <c r="B843" s="19"/>
      <c r="C843" s="6"/>
      <c r="D843" s="6"/>
    </row>
    <row r="844">
      <c r="A844" s="19"/>
      <c r="B844" s="19"/>
      <c r="C844" s="6"/>
      <c r="D844" s="6"/>
    </row>
    <row r="845">
      <c r="A845" s="19"/>
      <c r="B845" s="19"/>
      <c r="C845" s="6"/>
      <c r="D845" s="6"/>
    </row>
    <row r="846">
      <c r="A846" s="19"/>
      <c r="B846" s="19"/>
      <c r="C846" s="6"/>
      <c r="D846" s="6"/>
    </row>
    <row r="847">
      <c r="A847" s="19"/>
      <c r="B847" s="19"/>
      <c r="C847" s="6"/>
      <c r="D847" s="6"/>
    </row>
    <row r="848">
      <c r="A848" s="19"/>
      <c r="B848" s="19"/>
      <c r="C848" s="6"/>
      <c r="D848" s="6"/>
    </row>
    <row r="849">
      <c r="A849" s="19"/>
      <c r="B849" s="19"/>
      <c r="C849" s="6"/>
      <c r="D849" s="6"/>
    </row>
    <row r="850">
      <c r="A850" s="19"/>
      <c r="B850" s="19"/>
      <c r="C850" s="6"/>
      <c r="D850" s="6"/>
    </row>
    <row r="851">
      <c r="A851" s="19"/>
      <c r="B851" s="19"/>
      <c r="C851" s="6"/>
      <c r="D851" s="6"/>
    </row>
    <row r="852">
      <c r="A852" s="19"/>
      <c r="B852" s="19"/>
      <c r="C852" s="6"/>
      <c r="D852" s="6"/>
    </row>
    <row r="853">
      <c r="A853" s="19"/>
      <c r="B853" s="19"/>
      <c r="C853" s="6"/>
      <c r="D853" s="6"/>
    </row>
    <row r="854">
      <c r="A854" s="19"/>
      <c r="B854" s="19"/>
      <c r="C854" s="6"/>
      <c r="D854" s="6"/>
    </row>
    <row r="855">
      <c r="A855" s="19"/>
      <c r="B855" s="19"/>
      <c r="C855" s="6"/>
      <c r="D855" s="6"/>
    </row>
    <row r="856">
      <c r="A856" s="19"/>
      <c r="B856" s="19"/>
      <c r="C856" s="6"/>
      <c r="D856" s="6"/>
    </row>
    <row r="857">
      <c r="A857" s="19"/>
      <c r="B857" s="19"/>
      <c r="C857" s="6"/>
      <c r="D857" s="6"/>
    </row>
    <row r="858">
      <c r="A858" s="19"/>
      <c r="B858" s="19"/>
      <c r="C858" s="6"/>
      <c r="D858" s="6"/>
    </row>
    <row r="859">
      <c r="A859" s="19"/>
      <c r="B859" s="19"/>
      <c r="C859" s="6"/>
      <c r="D859" s="6"/>
    </row>
    <row r="860">
      <c r="A860" s="19"/>
      <c r="B860" s="19"/>
      <c r="C860" s="6"/>
      <c r="D860" s="6"/>
    </row>
    <row r="861">
      <c r="A861" s="19"/>
      <c r="B861" s="19"/>
      <c r="C861" s="4"/>
      <c r="D861" s="4"/>
    </row>
    <row r="862">
      <c r="A862" s="19"/>
      <c r="B862" s="19"/>
      <c r="C862" s="6"/>
      <c r="D862" s="6"/>
    </row>
    <row r="863">
      <c r="A863" s="19"/>
      <c r="B863" s="19"/>
      <c r="C863" s="6"/>
      <c r="D863" s="6"/>
    </row>
    <row r="864">
      <c r="A864" s="19"/>
      <c r="B864" s="19"/>
      <c r="C864" s="6"/>
      <c r="D864" s="6"/>
    </row>
    <row r="865">
      <c r="A865" s="19"/>
      <c r="B865" s="19"/>
      <c r="C865" s="6"/>
      <c r="D865" s="6"/>
    </row>
    <row r="866">
      <c r="A866" s="19"/>
      <c r="B866" s="19"/>
      <c r="C866" s="6"/>
      <c r="D866" s="6"/>
    </row>
    <row r="867">
      <c r="A867" s="19"/>
      <c r="B867" s="19"/>
      <c r="C867" s="6"/>
      <c r="D867" s="6"/>
    </row>
    <row r="868">
      <c r="A868" s="19"/>
      <c r="B868" s="19"/>
      <c r="C868" s="6"/>
      <c r="D868" s="6"/>
    </row>
    <row r="869">
      <c r="A869" s="19"/>
      <c r="B869" s="19"/>
      <c r="C869" s="6"/>
      <c r="D869" s="6"/>
    </row>
    <row r="870">
      <c r="A870" s="19"/>
      <c r="B870" s="19"/>
      <c r="C870" s="6"/>
      <c r="D870" s="6"/>
    </row>
    <row r="871">
      <c r="A871" s="19"/>
      <c r="B871" s="19"/>
      <c r="C871" s="6"/>
      <c r="D871" s="6"/>
    </row>
    <row r="872">
      <c r="A872" s="19"/>
      <c r="B872" s="19"/>
      <c r="C872" s="6"/>
      <c r="D872" s="6"/>
    </row>
    <row r="873">
      <c r="A873" s="19"/>
      <c r="B873" s="19"/>
      <c r="C873" s="6"/>
      <c r="D873" s="6"/>
    </row>
    <row r="874">
      <c r="A874" s="19"/>
      <c r="B874" s="19"/>
      <c r="C874" s="6"/>
      <c r="D874" s="6"/>
    </row>
    <row r="875">
      <c r="A875" s="19"/>
      <c r="B875" s="19"/>
      <c r="C875" s="6"/>
      <c r="D875" s="6"/>
    </row>
    <row r="876">
      <c r="A876" s="19"/>
      <c r="B876" s="19"/>
      <c r="C876" s="6"/>
      <c r="D876" s="6"/>
    </row>
    <row r="877">
      <c r="A877" s="19"/>
      <c r="B877" s="19"/>
      <c r="C877" s="6"/>
      <c r="D877" s="6"/>
    </row>
    <row r="878">
      <c r="A878" s="19"/>
      <c r="B878" s="19"/>
      <c r="C878" s="6"/>
      <c r="D878" s="6"/>
    </row>
    <row r="879">
      <c r="A879" s="19"/>
      <c r="B879" s="19"/>
      <c r="C879" s="6"/>
      <c r="D879" s="6"/>
    </row>
    <row r="880">
      <c r="A880" s="19"/>
      <c r="B880" s="19"/>
      <c r="C880" s="6"/>
      <c r="D880" s="6"/>
    </row>
    <row r="881">
      <c r="A881" s="19"/>
      <c r="B881" s="19"/>
      <c r="C881" s="4"/>
      <c r="D881" s="4"/>
    </row>
    <row r="882">
      <c r="A882" s="19"/>
      <c r="B882" s="19"/>
      <c r="C882" s="6"/>
      <c r="D882" s="6"/>
    </row>
    <row r="883">
      <c r="A883" s="19"/>
      <c r="B883" s="19"/>
      <c r="C883" s="6"/>
      <c r="D883" s="6"/>
    </row>
    <row r="884">
      <c r="A884" s="19"/>
      <c r="B884" s="19"/>
      <c r="C884" s="6"/>
      <c r="D884" s="6"/>
    </row>
    <row r="885">
      <c r="A885" s="19"/>
      <c r="B885" s="19"/>
      <c r="C885" s="6"/>
      <c r="D885" s="6"/>
    </row>
    <row r="886">
      <c r="A886" s="19"/>
      <c r="B886" s="19"/>
      <c r="C886" s="6"/>
      <c r="D886" s="6"/>
    </row>
    <row r="887">
      <c r="A887" s="19"/>
      <c r="B887" s="19"/>
      <c r="C887" s="6"/>
      <c r="D887" s="6"/>
    </row>
    <row r="888">
      <c r="A888" s="19"/>
      <c r="B888" s="19"/>
      <c r="C888" s="6"/>
      <c r="D888" s="6"/>
    </row>
    <row r="889">
      <c r="A889" s="19"/>
      <c r="B889" s="19"/>
      <c r="C889" s="6"/>
      <c r="D889" s="6"/>
    </row>
    <row r="890">
      <c r="A890" s="19"/>
      <c r="B890" s="19"/>
      <c r="C890" s="6"/>
      <c r="D890" s="6"/>
    </row>
    <row r="891">
      <c r="A891" s="19"/>
      <c r="B891" s="19"/>
      <c r="C891" s="6"/>
      <c r="D891" s="6"/>
    </row>
    <row r="892">
      <c r="A892" s="19"/>
      <c r="B892" s="19"/>
      <c r="C892" s="6"/>
      <c r="D892" s="6"/>
    </row>
    <row r="893">
      <c r="A893" s="19"/>
      <c r="B893" s="19"/>
      <c r="C893" s="6"/>
      <c r="D893" s="6"/>
    </row>
    <row r="894">
      <c r="A894" s="19"/>
      <c r="B894" s="19"/>
      <c r="C894" s="6"/>
      <c r="D894" s="6"/>
    </row>
    <row r="895">
      <c r="A895" s="19"/>
      <c r="B895" s="19"/>
      <c r="C895" s="6"/>
      <c r="D895" s="6"/>
    </row>
    <row r="896">
      <c r="A896" s="19"/>
      <c r="B896" s="19"/>
      <c r="C896" s="6"/>
      <c r="D896" s="6"/>
    </row>
    <row r="897">
      <c r="A897" s="19"/>
      <c r="B897" s="19"/>
      <c r="C897" s="6"/>
      <c r="D897" s="6"/>
    </row>
    <row r="898">
      <c r="A898" s="19"/>
      <c r="B898" s="19"/>
      <c r="C898" s="6"/>
      <c r="D898" s="6"/>
    </row>
    <row r="899">
      <c r="A899" s="19"/>
      <c r="B899" s="19"/>
      <c r="C899" s="6"/>
      <c r="D899" s="6"/>
    </row>
    <row r="900">
      <c r="A900" s="19"/>
      <c r="B900" s="19"/>
      <c r="C900" s="6"/>
      <c r="D900" s="6"/>
    </row>
    <row r="901">
      <c r="A901" s="19"/>
      <c r="B901" s="19"/>
      <c r="C901" s="4"/>
      <c r="D901" s="4"/>
    </row>
    <row r="902">
      <c r="A902" s="19"/>
      <c r="B902" s="19"/>
      <c r="C902" s="6"/>
      <c r="D902" s="6"/>
    </row>
    <row r="903">
      <c r="A903" s="19"/>
      <c r="B903" s="19"/>
      <c r="C903" s="6"/>
      <c r="D903" s="6"/>
    </row>
    <row r="904">
      <c r="A904" s="19"/>
      <c r="B904" s="19"/>
      <c r="C904" s="6"/>
      <c r="D904" s="6"/>
    </row>
    <row r="905">
      <c r="A905" s="19"/>
      <c r="B905" s="19"/>
      <c r="C905" s="6"/>
      <c r="D905" s="6"/>
    </row>
    <row r="906">
      <c r="A906" s="19"/>
      <c r="B906" s="19"/>
      <c r="C906" s="6"/>
      <c r="D906" s="6"/>
    </row>
    <row r="907">
      <c r="A907" s="19"/>
      <c r="B907" s="19"/>
      <c r="C907" s="6"/>
      <c r="D907" s="6"/>
    </row>
    <row r="908">
      <c r="A908" s="19"/>
      <c r="B908" s="19"/>
      <c r="C908" s="6"/>
      <c r="D908" s="6"/>
    </row>
    <row r="909">
      <c r="A909" s="19"/>
      <c r="B909" s="19"/>
      <c r="C909" s="6"/>
      <c r="D909" s="6"/>
    </row>
    <row r="910">
      <c r="A910" s="19"/>
      <c r="B910" s="19"/>
      <c r="C910" s="6"/>
      <c r="D910" s="6"/>
    </row>
    <row r="911">
      <c r="A911" s="19"/>
      <c r="B911" s="19"/>
      <c r="C911" s="6"/>
      <c r="D911" s="6"/>
    </row>
    <row r="912">
      <c r="A912" s="19"/>
      <c r="B912" s="19"/>
      <c r="C912" s="6"/>
      <c r="D912" s="6"/>
    </row>
    <row r="913">
      <c r="A913" s="19"/>
      <c r="B913" s="19"/>
      <c r="C913" s="6"/>
      <c r="D913" s="6"/>
    </row>
    <row r="914">
      <c r="A914" s="19"/>
      <c r="B914" s="19"/>
      <c r="C914" s="6"/>
      <c r="D914" s="6"/>
    </row>
    <row r="915">
      <c r="A915" s="19"/>
      <c r="B915" s="19"/>
      <c r="C915" s="6"/>
      <c r="D915" s="6"/>
    </row>
    <row r="916">
      <c r="A916" s="19"/>
      <c r="B916" s="19"/>
      <c r="C916" s="6"/>
      <c r="D916" s="6"/>
    </row>
    <row r="917">
      <c r="A917" s="19"/>
      <c r="B917" s="19"/>
      <c r="C917" s="6"/>
      <c r="D917" s="6"/>
    </row>
    <row r="918">
      <c r="A918" s="19"/>
      <c r="B918" s="19"/>
      <c r="C918" s="6"/>
      <c r="D918" s="6"/>
    </row>
    <row r="919">
      <c r="A919" s="19"/>
      <c r="B919" s="19"/>
      <c r="C919" s="6"/>
      <c r="D919" s="6"/>
    </row>
    <row r="920">
      <c r="A920" s="19"/>
      <c r="B920" s="19"/>
      <c r="C920" s="6"/>
      <c r="D920" s="6"/>
    </row>
    <row r="921">
      <c r="A921" s="19"/>
      <c r="B921" s="19"/>
      <c r="C921" s="4"/>
      <c r="D921" s="4"/>
    </row>
    <row r="922">
      <c r="A922" s="19"/>
      <c r="B922" s="19"/>
      <c r="C922" s="6"/>
      <c r="D922" s="6"/>
    </row>
    <row r="923">
      <c r="A923" s="19"/>
      <c r="B923" s="19"/>
      <c r="C923" s="6"/>
      <c r="D923" s="6"/>
    </row>
    <row r="924">
      <c r="A924" s="19"/>
      <c r="B924" s="19"/>
      <c r="C924" s="6"/>
      <c r="D924" s="6"/>
    </row>
    <row r="925">
      <c r="A925" s="19"/>
      <c r="B925" s="19"/>
      <c r="C925" s="6"/>
      <c r="D925" s="6"/>
    </row>
    <row r="926">
      <c r="A926" s="19"/>
      <c r="B926" s="19"/>
      <c r="C926" s="6"/>
      <c r="D926" s="6"/>
    </row>
    <row r="927">
      <c r="A927" s="19"/>
      <c r="B927" s="19"/>
      <c r="C927" s="6"/>
      <c r="D927" s="6"/>
    </row>
    <row r="928">
      <c r="A928" s="19"/>
      <c r="B928" s="19"/>
      <c r="C928" s="6"/>
      <c r="D928" s="6"/>
    </row>
    <row r="929">
      <c r="A929" s="19"/>
      <c r="B929" s="19"/>
      <c r="C929" s="6"/>
      <c r="D929" s="6"/>
    </row>
    <row r="930">
      <c r="A930" s="19"/>
      <c r="B930" s="19"/>
      <c r="C930" s="6"/>
      <c r="D930" s="6"/>
    </row>
    <row r="931">
      <c r="A931" s="19"/>
      <c r="B931" s="19"/>
      <c r="C931" s="6"/>
      <c r="D931" s="6"/>
    </row>
    <row r="932">
      <c r="A932" s="19"/>
      <c r="B932" s="19"/>
      <c r="C932" s="6"/>
      <c r="D932" s="6"/>
    </row>
    <row r="933">
      <c r="A933" s="19"/>
      <c r="B933" s="19"/>
      <c r="C933" s="6"/>
      <c r="D933" s="6"/>
    </row>
    <row r="934">
      <c r="A934" s="19"/>
      <c r="B934" s="19"/>
      <c r="C934" s="6"/>
      <c r="D934" s="6"/>
    </row>
    <row r="935">
      <c r="A935" s="19"/>
      <c r="B935" s="19"/>
      <c r="C935" s="6"/>
      <c r="D935" s="6"/>
    </row>
    <row r="936">
      <c r="A936" s="19"/>
      <c r="B936" s="19"/>
      <c r="C936" s="6"/>
      <c r="D936" s="6"/>
    </row>
    <row r="937">
      <c r="A937" s="19"/>
      <c r="B937" s="19"/>
      <c r="C937" s="6"/>
      <c r="D937" s="6"/>
    </row>
    <row r="938">
      <c r="A938" s="19"/>
      <c r="B938" s="19"/>
      <c r="C938" s="6"/>
      <c r="D938" s="6"/>
    </row>
    <row r="939">
      <c r="A939" s="19"/>
      <c r="B939" s="19"/>
      <c r="C939" s="6"/>
      <c r="D939" s="6"/>
    </row>
    <row r="940">
      <c r="A940" s="19"/>
      <c r="B940" s="19"/>
      <c r="C940" s="6"/>
      <c r="D940" s="6"/>
    </row>
    <row r="941">
      <c r="A941" s="19"/>
      <c r="B941" s="19"/>
      <c r="C941" s="4"/>
      <c r="D941" s="4"/>
    </row>
    <row r="942">
      <c r="A942" s="19"/>
      <c r="B942" s="19"/>
      <c r="C942" s="6"/>
      <c r="D942" s="6"/>
    </row>
    <row r="943">
      <c r="A943" s="19"/>
      <c r="B943" s="19"/>
      <c r="C943" s="6"/>
      <c r="D943" s="6"/>
    </row>
    <row r="944">
      <c r="A944" s="19"/>
      <c r="B944" s="19"/>
      <c r="C944" s="6"/>
      <c r="D944" s="6"/>
    </row>
    <row r="945">
      <c r="A945" s="19"/>
      <c r="B945" s="19"/>
      <c r="C945" s="6"/>
      <c r="D945" s="6"/>
    </row>
    <row r="946">
      <c r="A946" s="19"/>
      <c r="B946" s="19"/>
      <c r="C946" s="6"/>
      <c r="D946" s="6"/>
    </row>
    <row r="947">
      <c r="A947" s="19"/>
      <c r="B947" s="19"/>
      <c r="C947" s="6"/>
      <c r="D947" s="6"/>
    </row>
    <row r="948">
      <c r="A948" s="19"/>
      <c r="B948" s="19"/>
      <c r="C948" s="6"/>
      <c r="D948" s="6"/>
    </row>
    <row r="949">
      <c r="A949" s="19"/>
      <c r="B949" s="19"/>
      <c r="C949" s="6"/>
      <c r="D949" s="6"/>
    </row>
    <row r="950">
      <c r="A950" s="19"/>
      <c r="B950" s="19"/>
      <c r="C950" s="6"/>
      <c r="D950" s="6"/>
    </row>
    <row r="951">
      <c r="A951" s="19"/>
      <c r="B951" s="19"/>
      <c r="C951" s="6"/>
      <c r="D951" s="6"/>
    </row>
    <row r="952">
      <c r="A952" s="19"/>
      <c r="B952" s="19"/>
      <c r="C952" s="6"/>
      <c r="D952" s="6"/>
    </row>
    <row r="953">
      <c r="A953" s="19"/>
      <c r="B953" s="19"/>
      <c r="C953" s="6"/>
      <c r="D953" s="6"/>
    </row>
    <row r="954">
      <c r="A954" s="19"/>
      <c r="B954" s="19"/>
      <c r="C954" s="6"/>
      <c r="D954" s="6"/>
    </row>
    <row r="955">
      <c r="A955" s="19"/>
      <c r="B955" s="19"/>
      <c r="C955" s="6"/>
      <c r="D955" s="6"/>
    </row>
    <row r="956">
      <c r="A956" s="19"/>
      <c r="B956" s="19"/>
      <c r="C956" s="6"/>
      <c r="D956" s="6"/>
    </row>
    <row r="957">
      <c r="A957" s="19"/>
      <c r="B957" s="19"/>
      <c r="C957" s="6"/>
      <c r="D957" s="6"/>
    </row>
    <row r="958">
      <c r="A958" s="19"/>
      <c r="B958" s="19"/>
      <c r="C958" s="6"/>
      <c r="D958" s="6"/>
    </row>
    <row r="959">
      <c r="A959" s="19"/>
      <c r="B959" s="19"/>
      <c r="C959" s="6"/>
      <c r="D959" s="6"/>
    </row>
    <row r="960">
      <c r="A960" s="19"/>
      <c r="B960" s="19"/>
      <c r="C960" s="6"/>
      <c r="D960" s="6"/>
    </row>
    <row r="961">
      <c r="A961" s="19"/>
      <c r="B961" s="19"/>
      <c r="C961" s="4"/>
      <c r="D961" s="4"/>
    </row>
    <row r="962">
      <c r="A962" s="19"/>
      <c r="B962" s="19"/>
      <c r="C962" s="6"/>
      <c r="D962" s="6"/>
    </row>
    <row r="963">
      <c r="A963" s="19"/>
      <c r="B963" s="19"/>
      <c r="C963" s="6"/>
      <c r="D963" s="6"/>
    </row>
    <row r="964">
      <c r="A964" s="19"/>
      <c r="B964" s="19"/>
      <c r="C964" s="6"/>
      <c r="D964" s="6"/>
    </row>
    <row r="965">
      <c r="A965" s="19"/>
      <c r="B965" s="19"/>
      <c r="C965" s="6"/>
      <c r="D965" s="6"/>
    </row>
    <row r="966">
      <c r="A966" s="19"/>
      <c r="B966" s="19"/>
      <c r="C966" s="6"/>
      <c r="D966" s="6"/>
    </row>
    <row r="967">
      <c r="A967" s="19"/>
      <c r="B967" s="19"/>
      <c r="C967" s="6"/>
      <c r="D967" s="6"/>
    </row>
    <row r="968">
      <c r="A968" s="19"/>
      <c r="B968" s="19"/>
      <c r="C968" s="6"/>
      <c r="D968" s="6"/>
    </row>
    <row r="969">
      <c r="A969" s="19"/>
      <c r="B969" s="19"/>
      <c r="C969" s="6"/>
      <c r="D969" s="6"/>
    </row>
    <row r="970">
      <c r="A970" s="19"/>
      <c r="B970" s="19"/>
      <c r="C970" s="6"/>
      <c r="D970" s="6"/>
    </row>
    <row r="971">
      <c r="A971" s="19"/>
      <c r="B971" s="19"/>
      <c r="C971" s="6"/>
      <c r="D971" s="6"/>
    </row>
    <row r="972">
      <c r="A972" s="19"/>
      <c r="B972" s="19"/>
      <c r="C972" s="6"/>
      <c r="D972" s="6"/>
    </row>
    <row r="973">
      <c r="A973" s="19"/>
      <c r="B973" s="19"/>
      <c r="C973" s="6"/>
      <c r="D973" s="6"/>
    </row>
    <row r="974">
      <c r="A974" s="19"/>
      <c r="B974" s="19"/>
      <c r="C974" s="6"/>
      <c r="D974" s="6"/>
    </row>
    <row r="975">
      <c r="A975" s="19"/>
      <c r="B975" s="19"/>
      <c r="C975" s="6"/>
      <c r="D975" s="6"/>
    </row>
    <row r="976">
      <c r="A976" s="19"/>
      <c r="B976" s="19"/>
      <c r="C976" s="6"/>
      <c r="D976" s="6"/>
    </row>
    <row r="977">
      <c r="A977" s="19"/>
      <c r="B977" s="19"/>
      <c r="C977" s="6"/>
      <c r="D977" s="6"/>
    </row>
    <row r="978">
      <c r="A978" s="19"/>
      <c r="B978" s="19"/>
      <c r="C978" s="6"/>
      <c r="D978" s="6"/>
    </row>
    <row r="979">
      <c r="A979" s="19"/>
      <c r="B979" s="19"/>
      <c r="C979" s="6"/>
      <c r="D979" s="6"/>
    </row>
    <row r="980">
      <c r="A980" s="19"/>
      <c r="B980" s="19"/>
      <c r="C980" s="6"/>
      <c r="D980" s="6"/>
    </row>
    <row r="981">
      <c r="A981" s="19"/>
      <c r="B981" s="19"/>
      <c r="C981" s="4"/>
      <c r="D981" s="4"/>
    </row>
    <row r="982">
      <c r="A982" s="19"/>
      <c r="B982" s="19"/>
      <c r="C982" s="6"/>
      <c r="D982" s="6"/>
    </row>
    <row r="983">
      <c r="A983" s="19"/>
      <c r="B983" s="19"/>
      <c r="C983" s="6"/>
      <c r="D983" s="6"/>
    </row>
    <row r="984">
      <c r="A984" s="19"/>
      <c r="B984" s="19"/>
      <c r="C984" s="6"/>
      <c r="D984" s="6"/>
    </row>
    <row r="985">
      <c r="A985" s="19"/>
      <c r="B985" s="19"/>
      <c r="C985" s="6"/>
      <c r="D985" s="6"/>
    </row>
    <row r="986">
      <c r="A986" s="19"/>
      <c r="B986" s="19"/>
      <c r="C986" s="6"/>
      <c r="D986" s="6"/>
    </row>
    <row r="987">
      <c r="A987" s="19"/>
      <c r="B987" s="19"/>
      <c r="C987" s="6"/>
      <c r="D987" s="6"/>
    </row>
    <row r="988">
      <c r="A988" s="19"/>
      <c r="B988" s="19"/>
      <c r="C988" s="6"/>
      <c r="D988" s="6"/>
    </row>
    <row r="989">
      <c r="A989" s="19"/>
      <c r="B989" s="19"/>
      <c r="C989" s="6"/>
      <c r="D989" s="6"/>
    </row>
    <row r="990">
      <c r="A990" s="19"/>
      <c r="B990" s="19"/>
      <c r="C990" s="6"/>
      <c r="D990" s="6"/>
    </row>
    <row r="991">
      <c r="A991" s="19"/>
      <c r="B991" s="19"/>
      <c r="C991" s="6"/>
      <c r="D991" s="6"/>
    </row>
    <row r="992">
      <c r="A992" s="19"/>
      <c r="B992" s="19"/>
      <c r="C992" s="6"/>
      <c r="D992" s="6"/>
    </row>
    <row r="993">
      <c r="A993" s="19"/>
      <c r="B993" s="19"/>
      <c r="C993" s="6"/>
      <c r="D993" s="6"/>
    </row>
    <row r="994">
      <c r="A994" s="19"/>
      <c r="B994" s="19"/>
      <c r="C994" s="6"/>
      <c r="D994" s="6"/>
    </row>
    <row r="995">
      <c r="A995" s="19"/>
      <c r="B995" s="19"/>
      <c r="C995" s="6"/>
      <c r="D995" s="6"/>
    </row>
    <row r="996">
      <c r="A996" s="19"/>
      <c r="B996" s="19"/>
      <c r="C996" s="6"/>
      <c r="D996" s="6"/>
    </row>
    <row r="997">
      <c r="A997" s="19"/>
      <c r="B997" s="19"/>
      <c r="C997" s="6"/>
      <c r="D997" s="6"/>
    </row>
    <row r="998">
      <c r="A998" s="19"/>
      <c r="B998" s="19"/>
      <c r="C998" s="6"/>
      <c r="D998" s="6"/>
    </row>
    <row r="999">
      <c r="A999" s="19"/>
      <c r="B999" s="19"/>
      <c r="C999" s="6"/>
      <c r="D999" s="6"/>
    </row>
    <row r="1000">
      <c r="A1000" s="19"/>
      <c r="B1000" s="19"/>
      <c r="C1000" s="6"/>
      <c r="D1000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7.0"/>
    <col customWidth="1" min="4" max="4" width="13.13"/>
    <col customWidth="1" min="6" max="6" width="13.5"/>
  </cols>
  <sheetData>
    <row r="1">
      <c r="A1" s="11" t="s">
        <v>0</v>
      </c>
      <c r="B1" s="11" t="s">
        <v>8</v>
      </c>
      <c r="C1" s="4" t="s">
        <v>9</v>
      </c>
      <c r="D1" s="4" t="s">
        <v>10</v>
      </c>
      <c r="E1" s="12" t="s">
        <v>11</v>
      </c>
      <c r="F1" s="12" t="s">
        <v>12</v>
      </c>
    </row>
    <row r="2">
      <c r="A2" s="5">
        <v>44929.0</v>
      </c>
      <c r="B2" s="11">
        <v>109.778159699371</v>
      </c>
      <c r="C2" s="6">
        <v>106.510002</v>
      </c>
      <c r="D2" s="13">
        <f t="shared" ref="D2:D11" si="1">B2-C2</f>
        <v>3.268157699</v>
      </c>
      <c r="E2" s="12">
        <f t="shared" ref="E2:E11" si="2">ABS(D2)</f>
        <v>3.268157699</v>
      </c>
      <c r="F2" s="12">
        <f t="shared" ref="F2:F11" si="3">E2/C2</f>
        <v>0.03068404505</v>
      </c>
      <c r="H2" s="14"/>
    </row>
    <row r="3">
      <c r="A3" s="5">
        <v>44930.0</v>
      </c>
      <c r="B3" s="11">
        <v>104.84054573539</v>
      </c>
      <c r="C3" s="6">
        <v>106.82</v>
      </c>
      <c r="D3" s="13">
        <f t="shared" si="1"/>
        <v>-1.979454265</v>
      </c>
      <c r="E3" s="12">
        <f t="shared" si="2"/>
        <v>1.979454265</v>
      </c>
      <c r="F3" s="12">
        <f t="shared" si="3"/>
        <v>0.01853074578</v>
      </c>
      <c r="H3" s="14"/>
    </row>
    <row r="4">
      <c r="A4" s="5">
        <v>44931.0</v>
      </c>
      <c r="B4" s="11">
        <v>106.39566852383</v>
      </c>
      <c r="C4" s="6">
        <v>109.209999</v>
      </c>
      <c r="D4" s="13">
        <f t="shared" si="1"/>
        <v>-2.814330476</v>
      </c>
      <c r="E4" s="12">
        <f t="shared" si="2"/>
        <v>2.814330476</v>
      </c>
      <c r="F4" s="12">
        <f t="shared" si="3"/>
        <v>0.02576989746</v>
      </c>
      <c r="H4" s="14"/>
    </row>
    <row r="5">
      <c r="A5" s="5">
        <v>44932.0</v>
      </c>
      <c r="B5" s="11">
        <v>110.04501280808</v>
      </c>
      <c r="C5" s="6">
        <v>110.529999</v>
      </c>
      <c r="D5" s="13">
        <f t="shared" si="1"/>
        <v>-0.4849861919</v>
      </c>
      <c r="E5" s="12">
        <f t="shared" si="2"/>
        <v>0.4849861919</v>
      </c>
      <c r="F5" s="12">
        <f t="shared" si="3"/>
        <v>0.004387824087</v>
      </c>
      <c r="H5" s="14"/>
    </row>
    <row r="6">
      <c r="A6" s="5">
        <v>44935.0</v>
      </c>
      <c r="B6" s="11">
        <v>111.53436393953</v>
      </c>
      <c r="C6" s="6">
        <v>108.470001</v>
      </c>
      <c r="D6" s="13">
        <f t="shared" si="1"/>
        <v>3.06436294</v>
      </c>
      <c r="E6" s="12">
        <f t="shared" si="2"/>
        <v>3.06436294</v>
      </c>
      <c r="F6" s="12">
        <f t="shared" si="3"/>
        <v>0.02825078742</v>
      </c>
      <c r="H6" s="14"/>
    </row>
    <row r="7">
      <c r="A7" s="5">
        <v>44936.0</v>
      </c>
      <c r="B7" s="11">
        <v>109.78990529473</v>
      </c>
      <c r="C7" s="6">
        <v>110.089996</v>
      </c>
      <c r="D7" s="13">
        <f t="shared" si="1"/>
        <v>-0.3000907053</v>
      </c>
      <c r="E7" s="12">
        <f t="shared" si="2"/>
        <v>0.3000907053</v>
      </c>
      <c r="F7" s="12">
        <f t="shared" si="3"/>
        <v>0.002725867165</v>
      </c>
      <c r="H7" s="14"/>
    </row>
    <row r="8">
      <c r="A8" s="5">
        <v>44937.0</v>
      </c>
      <c r="B8" s="11">
        <v>110.92612159999</v>
      </c>
      <c r="C8" s="6">
        <v>111.370003</v>
      </c>
      <c r="D8" s="13">
        <f t="shared" si="1"/>
        <v>-0.4438814</v>
      </c>
      <c r="E8" s="12">
        <f t="shared" si="2"/>
        <v>0.4438814</v>
      </c>
      <c r="F8" s="12">
        <f t="shared" si="3"/>
        <v>0.003985645937</v>
      </c>
    </row>
    <row r="9">
      <c r="A9" s="5">
        <v>44938.0</v>
      </c>
      <c r="B9" s="11">
        <v>111.76730798173</v>
      </c>
      <c r="C9" s="6">
        <v>113.220001</v>
      </c>
      <c r="D9" s="13">
        <f t="shared" si="1"/>
        <v>-1.452693018</v>
      </c>
      <c r="E9" s="12">
        <f t="shared" si="2"/>
        <v>1.452693018</v>
      </c>
      <c r="F9" s="12">
        <f t="shared" si="3"/>
        <v>0.01283071017</v>
      </c>
    </row>
    <row r="10">
      <c r="A10" s="5">
        <v>44939.0</v>
      </c>
      <c r="B10" s="11">
        <v>113.10483033089</v>
      </c>
      <c r="C10" s="6">
        <v>113.150002</v>
      </c>
      <c r="D10" s="13">
        <f t="shared" si="1"/>
        <v>-0.04517166911</v>
      </c>
      <c r="E10" s="12">
        <f t="shared" si="2"/>
        <v>0.04517166911</v>
      </c>
      <c r="F10" s="12">
        <f t="shared" si="3"/>
        <v>0.0003992193399</v>
      </c>
    </row>
    <row r="11">
      <c r="A11" s="5">
        <v>44943.0</v>
      </c>
      <c r="B11" s="11">
        <v>113.29457644195</v>
      </c>
      <c r="C11" s="6">
        <v>112.93</v>
      </c>
      <c r="D11" s="13">
        <f t="shared" si="1"/>
        <v>0.3645764419</v>
      </c>
      <c r="E11" s="12">
        <f t="shared" si="2"/>
        <v>0.3645764419</v>
      </c>
      <c r="F11" s="12">
        <f t="shared" si="3"/>
        <v>0.003228340051</v>
      </c>
    </row>
    <row r="12">
      <c r="A12" s="15">
        <v>44944.0</v>
      </c>
      <c r="B12" s="16">
        <v>113.1487978122</v>
      </c>
      <c r="C12" s="17">
        <v>110.610001</v>
      </c>
      <c r="D12" s="6"/>
    </row>
    <row r="13">
      <c r="A13" s="15">
        <v>44945.0</v>
      </c>
      <c r="B13" s="16">
        <v>110.107738468</v>
      </c>
      <c r="C13" s="17">
        <v>111.32</v>
      </c>
      <c r="D13" s="6"/>
      <c r="E13" s="12"/>
      <c r="F13" s="12"/>
      <c r="G13" s="12" t="s">
        <v>13</v>
      </c>
      <c r="H13" s="18">
        <f>AVERAGE(E2:E11)</f>
        <v>1.421770481</v>
      </c>
    </row>
    <row r="14">
      <c r="A14" s="15">
        <v>44946.0</v>
      </c>
      <c r="B14" s="16">
        <v>111.2846571123</v>
      </c>
      <c r="C14" s="17">
        <v>113.349998</v>
      </c>
      <c r="D14" s="6"/>
      <c r="F14" s="12"/>
    </row>
    <row r="15">
      <c r="A15" s="15">
        <v>44952.0</v>
      </c>
      <c r="B15" s="16">
        <v>114.4672704691</v>
      </c>
      <c r="C15" s="17">
        <v>117.760002</v>
      </c>
      <c r="D15" s="6"/>
    </row>
    <row r="16">
      <c r="A16" s="15">
        <v>44953.0</v>
      </c>
      <c r="B16" s="16">
        <v>116.7809828793</v>
      </c>
      <c r="C16" s="17">
        <v>115.610001</v>
      </c>
      <c r="D16" s="6"/>
    </row>
    <row r="17">
      <c r="A17" s="15">
        <v>44956.0</v>
      </c>
      <c r="B17" s="16">
        <v>114.8834522537</v>
      </c>
      <c r="C17" s="17">
        <v>113.559998</v>
      </c>
      <c r="D17" s="6"/>
    </row>
    <row r="18">
      <c r="A18" s="19"/>
      <c r="B18" s="19"/>
      <c r="C18" s="4"/>
      <c r="D18" s="6"/>
    </row>
    <row r="19">
      <c r="A19" s="19"/>
      <c r="B19" s="19"/>
      <c r="C19" s="6"/>
      <c r="D19" s="6"/>
    </row>
    <row r="20">
      <c r="A20" s="19"/>
      <c r="B20" s="19"/>
      <c r="C20" s="6"/>
      <c r="D20" s="6"/>
    </row>
    <row r="21">
      <c r="A21" s="19"/>
      <c r="B21" s="19"/>
      <c r="C21" s="6"/>
      <c r="D21" s="4"/>
    </row>
    <row r="22">
      <c r="A22" s="19"/>
      <c r="B22" s="19"/>
      <c r="C22" s="6"/>
      <c r="D22" s="6"/>
    </row>
    <row r="23">
      <c r="A23" s="19"/>
      <c r="B23" s="19"/>
      <c r="C23" s="6"/>
      <c r="D23" s="6"/>
    </row>
    <row r="24">
      <c r="A24" s="19"/>
      <c r="B24" s="19"/>
      <c r="C24" s="6"/>
      <c r="D24" s="6"/>
    </row>
    <row r="25">
      <c r="A25" s="19"/>
      <c r="B25" s="19"/>
      <c r="C25" s="6"/>
      <c r="D25" s="6"/>
    </row>
    <row r="26">
      <c r="A26" s="19"/>
      <c r="B26" s="19"/>
      <c r="C26" s="6"/>
      <c r="D26" s="6"/>
    </row>
    <row r="27">
      <c r="A27" s="19"/>
      <c r="B27" s="19"/>
      <c r="C27" s="6"/>
      <c r="D27" s="6"/>
    </row>
    <row r="28">
      <c r="A28" s="19"/>
      <c r="B28" s="19"/>
      <c r="C28" s="6"/>
      <c r="D28" s="6"/>
    </row>
    <row r="29">
      <c r="A29" s="19"/>
      <c r="B29" s="19"/>
      <c r="C29" s="6"/>
      <c r="D29" s="6"/>
    </row>
    <row r="30">
      <c r="A30" s="19"/>
      <c r="B30" s="19"/>
      <c r="C30" s="6"/>
      <c r="D30" s="6"/>
    </row>
    <row r="31">
      <c r="A31" s="19"/>
      <c r="B31" s="19"/>
      <c r="C31" s="6"/>
      <c r="D31" s="6"/>
    </row>
    <row r="32">
      <c r="A32" s="19"/>
      <c r="B32" s="19"/>
      <c r="C32" s="6"/>
      <c r="D32" s="6"/>
    </row>
    <row r="33">
      <c r="A33" s="19"/>
      <c r="B33" s="19"/>
      <c r="C33" s="6"/>
      <c r="D33" s="6"/>
    </row>
    <row r="34">
      <c r="A34" s="19"/>
      <c r="B34" s="19"/>
      <c r="C34" s="6"/>
      <c r="D34" s="6"/>
    </row>
    <row r="35">
      <c r="A35" s="19"/>
      <c r="B35" s="19"/>
      <c r="C35" s="6"/>
      <c r="D35" s="6"/>
    </row>
    <row r="36">
      <c r="A36" s="19"/>
      <c r="B36" s="19"/>
      <c r="C36" s="6"/>
      <c r="D36" s="6"/>
    </row>
    <row r="37">
      <c r="A37" s="19"/>
      <c r="B37" s="19"/>
      <c r="C37" s="6"/>
      <c r="D37" s="6"/>
    </row>
    <row r="38">
      <c r="A38" s="19"/>
      <c r="B38" s="19"/>
      <c r="C38" s="4"/>
      <c r="D38" s="6"/>
    </row>
    <row r="39">
      <c r="A39" s="19"/>
      <c r="B39" s="19"/>
      <c r="C39" s="6"/>
      <c r="D39" s="6"/>
    </row>
    <row r="40">
      <c r="A40" s="19"/>
      <c r="B40" s="19"/>
      <c r="C40" s="6"/>
      <c r="D40" s="6"/>
    </row>
    <row r="41">
      <c r="A41" s="19"/>
      <c r="B41" s="19"/>
      <c r="C41" s="6"/>
      <c r="D41" s="4"/>
    </row>
    <row r="42">
      <c r="A42" s="19"/>
      <c r="B42" s="19"/>
      <c r="C42" s="6"/>
      <c r="D42" s="6"/>
    </row>
    <row r="43">
      <c r="A43" s="19"/>
      <c r="B43" s="19"/>
      <c r="C43" s="6"/>
      <c r="D43" s="6"/>
    </row>
    <row r="44">
      <c r="A44" s="19"/>
      <c r="B44" s="19"/>
      <c r="C44" s="6"/>
      <c r="D44" s="6"/>
    </row>
    <row r="45">
      <c r="A45" s="19"/>
      <c r="B45" s="19"/>
      <c r="C45" s="6"/>
      <c r="D45" s="6"/>
    </row>
    <row r="46">
      <c r="A46" s="19"/>
      <c r="B46" s="19"/>
      <c r="C46" s="6"/>
      <c r="D46" s="6"/>
    </row>
    <row r="47">
      <c r="A47" s="19"/>
      <c r="B47" s="19"/>
      <c r="C47" s="6"/>
      <c r="D47" s="6"/>
    </row>
    <row r="48">
      <c r="A48" s="19"/>
      <c r="B48" s="19"/>
      <c r="C48" s="6"/>
      <c r="D48" s="6"/>
    </row>
    <row r="49">
      <c r="A49" s="19"/>
      <c r="B49" s="19"/>
      <c r="C49" s="6"/>
      <c r="D49" s="6"/>
    </row>
    <row r="50">
      <c r="A50" s="19"/>
      <c r="B50" s="19"/>
      <c r="C50" s="6"/>
      <c r="D50" s="6"/>
    </row>
    <row r="51">
      <c r="A51" s="19"/>
      <c r="B51" s="19"/>
      <c r="C51" s="6"/>
      <c r="D51" s="6"/>
    </row>
    <row r="52">
      <c r="A52" s="19"/>
      <c r="B52" s="19"/>
      <c r="C52" s="6"/>
      <c r="D52" s="6"/>
    </row>
    <row r="53">
      <c r="A53" s="19"/>
      <c r="B53" s="19"/>
      <c r="C53" s="6"/>
      <c r="D53" s="6"/>
    </row>
    <row r="54">
      <c r="A54" s="19"/>
      <c r="B54" s="19"/>
      <c r="C54" s="6"/>
      <c r="D54" s="6"/>
    </row>
    <row r="55">
      <c r="A55" s="19"/>
      <c r="B55" s="19"/>
      <c r="C55" s="6"/>
      <c r="D55" s="6"/>
    </row>
    <row r="56">
      <c r="A56" s="19"/>
      <c r="B56" s="19"/>
      <c r="C56" s="6"/>
      <c r="D56" s="6"/>
    </row>
    <row r="57">
      <c r="A57" s="19"/>
      <c r="B57" s="19"/>
      <c r="C57" s="6"/>
      <c r="D57" s="6"/>
    </row>
    <row r="58">
      <c r="A58" s="19"/>
      <c r="B58" s="19"/>
      <c r="C58" s="4"/>
      <c r="D58" s="6"/>
    </row>
    <row r="59">
      <c r="A59" s="19"/>
      <c r="B59" s="19"/>
      <c r="C59" s="6"/>
      <c r="D59" s="6"/>
    </row>
    <row r="60">
      <c r="A60" s="19"/>
      <c r="B60" s="19"/>
      <c r="C60" s="6"/>
      <c r="D60" s="6"/>
    </row>
    <row r="61">
      <c r="A61" s="19"/>
      <c r="B61" s="19"/>
      <c r="C61" s="6"/>
      <c r="D61" s="4"/>
    </row>
    <row r="62">
      <c r="A62" s="19"/>
      <c r="B62" s="19"/>
      <c r="C62" s="6"/>
      <c r="D62" s="6"/>
    </row>
    <row r="63">
      <c r="A63" s="19"/>
      <c r="B63" s="19"/>
      <c r="C63" s="6"/>
      <c r="D63" s="6"/>
    </row>
    <row r="64">
      <c r="A64" s="19"/>
      <c r="B64" s="19"/>
      <c r="C64" s="6"/>
      <c r="D64" s="6"/>
    </row>
    <row r="65">
      <c r="A65" s="19"/>
      <c r="B65" s="19"/>
      <c r="C65" s="6"/>
      <c r="D65" s="6"/>
    </row>
    <row r="66">
      <c r="A66" s="19"/>
      <c r="B66" s="19"/>
      <c r="C66" s="6"/>
      <c r="D66" s="6"/>
    </row>
    <row r="67">
      <c r="A67" s="19"/>
      <c r="B67" s="19"/>
      <c r="C67" s="6"/>
      <c r="D67" s="6"/>
    </row>
    <row r="68">
      <c r="A68" s="19"/>
      <c r="B68" s="19"/>
      <c r="C68" s="6"/>
      <c r="D68" s="6"/>
    </row>
    <row r="69">
      <c r="A69" s="19"/>
      <c r="B69" s="19"/>
      <c r="C69" s="6"/>
      <c r="D69" s="6"/>
    </row>
    <row r="70">
      <c r="A70" s="19"/>
      <c r="B70" s="19"/>
      <c r="C70" s="6"/>
      <c r="D70" s="6"/>
    </row>
    <row r="71">
      <c r="A71" s="19"/>
      <c r="B71" s="19"/>
      <c r="C71" s="6"/>
      <c r="D71" s="6"/>
    </row>
    <row r="72">
      <c r="A72" s="19"/>
      <c r="B72" s="19"/>
      <c r="C72" s="6"/>
      <c r="D72" s="6"/>
    </row>
    <row r="73">
      <c r="A73" s="19"/>
      <c r="B73" s="19"/>
      <c r="C73" s="6"/>
      <c r="D73" s="6"/>
    </row>
    <row r="74">
      <c r="A74" s="19"/>
      <c r="B74" s="19"/>
      <c r="C74" s="6"/>
      <c r="D74" s="6"/>
    </row>
    <row r="75">
      <c r="A75" s="19"/>
      <c r="B75" s="19"/>
      <c r="C75" s="6"/>
      <c r="D75" s="6"/>
    </row>
    <row r="76">
      <c r="A76" s="19"/>
      <c r="B76" s="19"/>
      <c r="C76" s="6"/>
      <c r="D76" s="6"/>
    </row>
    <row r="77">
      <c r="A77" s="19"/>
      <c r="B77" s="19"/>
      <c r="C77" s="6"/>
      <c r="D77" s="6"/>
    </row>
    <row r="78">
      <c r="A78" s="19"/>
      <c r="B78" s="19"/>
      <c r="C78" s="4"/>
      <c r="D78" s="6"/>
    </row>
    <row r="79">
      <c r="A79" s="19"/>
      <c r="B79" s="19"/>
      <c r="C79" s="6"/>
      <c r="D79" s="6"/>
    </row>
    <row r="80">
      <c r="A80" s="19"/>
      <c r="B80" s="19"/>
      <c r="C80" s="6"/>
      <c r="D80" s="6"/>
    </row>
    <row r="81">
      <c r="A81" s="19"/>
      <c r="B81" s="19"/>
      <c r="C81" s="6"/>
      <c r="D81" s="4"/>
    </row>
    <row r="82">
      <c r="A82" s="19"/>
      <c r="B82" s="19"/>
      <c r="C82" s="6"/>
      <c r="D82" s="6"/>
    </row>
    <row r="83">
      <c r="A83" s="19"/>
      <c r="B83" s="19"/>
      <c r="C83" s="6"/>
      <c r="D83" s="6"/>
    </row>
    <row r="84">
      <c r="A84" s="19"/>
      <c r="B84" s="19"/>
      <c r="C84" s="6"/>
      <c r="D84" s="6"/>
    </row>
    <row r="85">
      <c r="A85" s="19"/>
      <c r="B85" s="19"/>
      <c r="C85" s="6"/>
      <c r="D85" s="6"/>
    </row>
    <row r="86">
      <c r="A86" s="19"/>
      <c r="B86" s="19"/>
      <c r="C86" s="6"/>
      <c r="D86" s="6"/>
    </row>
    <row r="87">
      <c r="A87" s="19"/>
      <c r="B87" s="19"/>
      <c r="C87" s="6"/>
      <c r="D87" s="6"/>
    </row>
    <row r="88">
      <c r="A88" s="19"/>
      <c r="B88" s="19"/>
      <c r="C88" s="6"/>
      <c r="D88" s="6"/>
    </row>
    <row r="89">
      <c r="A89" s="19"/>
      <c r="B89" s="19"/>
      <c r="C89" s="6"/>
      <c r="D89" s="6"/>
    </row>
    <row r="90">
      <c r="A90" s="19"/>
      <c r="B90" s="19"/>
      <c r="C90" s="6"/>
      <c r="D90" s="6"/>
    </row>
    <row r="91">
      <c r="A91" s="19"/>
      <c r="B91" s="19"/>
      <c r="C91" s="6"/>
      <c r="D91" s="6"/>
    </row>
    <row r="92">
      <c r="A92" s="19"/>
      <c r="B92" s="19"/>
      <c r="C92" s="6"/>
      <c r="D92" s="6"/>
    </row>
    <row r="93">
      <c r="A93" s="19"/>
      <c r="B93" s="19"/>
      <c r="C93" s="6"/>
      <c r="D93" s="6"/>
    </row>
    <row r="94">
      <c r="A94" s="19"/>
      <c r="B94" s="19"/>
      <c r="C94" s="6"/>
      <c r="D94" s="6"/>
    </row>
    <row r="95">
      <c r="A95" s="19"/>
      <c r="B95" s="19"/>
      <c r="C95" s="6"/>
      <c r="D95" s="6"/>
    </row>
    <row r="96">
      <c r="A96" s="19"/>
      <c r="B96" s="19"/>
      <c r="C96" s="6"/>
      <c r="D96" s="6"/>
    </row>
    <row r="97">
      <c r="A97" s="19"/>
      <c r="B97" s="19"/>
      <c r="C97" s="6"/>
      <c r="D97" s="6"/>
    </row>
    <row r="98">
      <c r="A98" s="19"/>
      <c r="B98" s="19"/>
      <c r="C98" s="4"/>
      <c r="D98" s="6"/>
    </row>
    <row r="99">
      <c r="A99" s="19"/>
      <c r="B99" s="19"/>
      <c r="C99" s="6"/>
      <c r="D99" s="6"/>
    </row>
    <row r="100">
      <c r="A100" s="19"/>
      <c r="B100" s="19"/>
      <c r="C100" s="6"/>
      <c r="D100" s="6"/>
    </row>
    <row r="101">
      <c r="A101" s="19"/>
      <c r="B101" s="19"/>
      <c r="C101" s="6"/>
      <c r="D101" s="4"/>
    </row>
    <row r="102">
      <c r="A102" s="19"/>
      <c r="B102" s="19"/>
      <c r="C102" s="6"/>
      <c r="D102" s="6"/>
    </row>
    <row r="103">
      <c r="A103" s="19"/>
      <c r="B103" s="19"/>
      <c r="C103" s="6"/>
      <c r="D103" s="6"/>
    </row>
    <row r="104">
      <c r="A104" s="19"/>
      <c r="B104" s="19"/>
      <c r="C104" s="6"/>
      <c r="D104" s="6"/>
    </row>
    <row r="105">
      <c r="A105" s="19"/>
      <c r="B105" s="19"/>
      <c r="C105" s="6"/>
      <c r="D105" s="6"/>
    </row>
    <row r="106">
      <c r="A106" s="19"/>
      <c r="B106" s="19"/>
      <c r="C106" s="6"/>
      <c r="D106" s="6"/>
    </row>
    <row r="107">
      <c r="A107" s="19"/>
      <c r="B107" s="19"/>
      <c r="C107" s="6"/>
      <c r="D107" s="6"/>
    </row>
    <row r="108">
      <c r="A108" s="19"/>
      <c r="B108" s="19"/>
      <c r="C108" s="6"/>
      <c r="D108" s="6"/>
    </row>
    <row r="109">
      <c r="A109" s="19"/>
      <c r="B109" s="19"/>
      <c r="C109" s="6"/>
      <c r="D109" s="6"/>
    </row>
    <row r="110">
      <c r="A110" s="19"/>
      <c r="B110" s="19"/>
      <c r="C110" s="6"/>
      <c r="D110" s="6"/>
    </row>
    <row r="111">
      <c r="A111" s="19"/>
      <c r="B111" s="19"/>
      <c r="C111" s="6"/>
      <c r="D111" s="6"/>
    </row>
    <row r="112">
      <c r="A112" s="19"/>
      <c r="B112" s="19"/>
      <c r="C112" s="6"/>
      <c r="D112" s="6"/>
    </row>
    <row r="113">
      <c r="A113" s="19"/>
      <c r="B113" s="19"/>
      <c r="C113" s="6"/>
      <c r="D113" s="6"/>
    </row>
    <row r="114">
      <c r="A114" s="19"/>
      <c r="B114" s="19"/>
      <c r="C114" s="6"/>
      <c r="D114" s="6"/>
    </row>
    <row r="115">
      <c r="A115" s="19"/>
      <c r="B115" s="19"/>
      <c r="C115" s="6"/>
      <c r="D115" s="6"/>
    </row>
    <row r="116">
      <c r="A116" s="19"/>
      <c r="B116" s="19"/>
      <c r="C116" s="6"/>
      <c r="D116" s="6"/>
    </row>
    <row r="117">
      <c r="A117" s="19"/>
      <c r="B117" s="19"/>
      <c r="C117" s="6"/>
      <c r="D117" s="6"/>
    </row>
    <row r="118">
      <c r="A118" s="19"/>
      <c r="B118" s="19"/>
      <c r="C118" s="4"/>
      <c r="D118" s="6"/>
    </row>
    <row r="119">
      <c r="A119" s="19"/>
      <c r="B119" s="19"/>
      <c r="C119" s="6"/>
      <c r="D119" s="6"/>
    </row>
    <row r="120">
      <c r="A120" s="19"/>
      <c r="B120" s="19"/>
      <c r="C120" s="6"/>
      <c r="D120" s="6"/>
    </row>
    <row r="121">
      <c r="A121" s="19"/>
      <c r="B121" s="19"/>
      <c r="C121" s="6"/>
      <c r="D121" s="4"/>
    </row>
    <row r="122">
      <c r="A122" s="19"/>
      <c r="B122" s="19"/>
      <c r="C122" s="6"/>
      <c r="D122" s="6"/>
    </row>
    <row r="123">
      <c r="A123" s="19"/>
      <c r="B123" s="19"/>
      <c r="C123" s="6"/>
      <c r="D123" s="6"/>
    </row>
    <row r="124">
      <c r="A124" s="19"/>
      <c r="B124" s="19"/>
      <c r="C124" s="6"/>
      <c r="D124" s="6"/>
    </row>
    <row r="125">
      <c r="A125" s="19"/>
      <c r="B125" s="19"/>
      <c r="C125" s="6"/>
      <c r="D125" s="6"/>
    </row>
    <row r="126">
      <c r="A126" s="19"/>
      <c r="B126" s="19"/>
      <c r="C126" s="6"/>
      <c r="D126" s="6"/>
    </row>
    <row r="127">
      <c r="A127" s="19"/>
      <c r="B127" s="19"/>
      <c r="C127" s="6"/>
      <c r="D127" s="6"/>
    </row>
    <row r="128">
      <c r="A128" s="19"/>
      <c r="B128" s="19"/>
      <c r="C128" s="6"/>
      <c r="D128" s="6"/>
    </row>
    <row r="129">
      <c r="A129" s="19"/>
      <c r="B129" s="19"/>
      <c r="C129" s="6"/>
      <c r="D129" s="6"/>
    </row>
    <row r="130">
      <c r="A130" s="19"/>
      <c r="B130" s="19"/>
      <c r="C130" s="6"/>
      <c r="D130" s="6"/>
    </row>
    <row r="131">
      <c r="A131" s="19"/>
      <c r="B131" s="19"/>
      <c r="C131" s="6"/>
      <c r="D131" s="6"/>
    </row>
    <row r="132">
      <c r="A132" s="19"/>
      <c r="B132" s="19"/>
      <c r="C132" s="6"/>
      <c r="D132" s="6"/>
    </row>
    <row r="133">
      <c r="A133" s="19"/>
      <c r="B133" s="19"/>
      <c r="C133" s="6"/>
      <c r="D133" s="6"/>
    </row>
    <row r="134">
      <c r="A134" s="19"/>
      <c r="B134" s="19"/>
      <c r="C134" s="6"/>
      <c r="D134" s="6"/>
    </row>
    <row r="135">
      <c r="A135" s="19"/>
      <c r="B135" s="19"/>
      <c r="C135" s="6"/>
      <c r="D135" s="6"/>
    </row>
    <row r="136">
      <c r="A136" s="19"/>
      <c r="B136" s="19"/>
      <c r="C136" s="6"/>
      <c r="D136" s="6"/>
    </row>
    <row r="137">
      <c r="A137" s="19"/>
      <c r="B137" s="19"/>
      <c r="C137" s="6"/>
      <c r="D137" s="6"/>
    </row>
    <row r="138">
      <c r="A138" s="19"/>
      <c r="B138" s="19"/>
      <c r="C138" s="4"/>
      <c r="D138" s="6"/>
    </row>
    <row r="139">
      <c r="A139" s="19"/>
      <c r="B139" s="19"/>
      <c r="C139" s="6"/>
      <c r="D139" s="6"/>
    </row>
    <row r="140">
      <c r="A140" s="19"/>
      <c r="B140" s="19"/>
      <c r="C140" s="6"/>
      <c r="D140" s="6"/>
    </row>
    <row r="141">
      <c r="A141" s="19"/>
      <c r="B141" s="19"/>
      <c r="C141" s="6"/>
      <c r="D141" s="4"/>
    </row>
    <row r="142">
      <c r="A142" s="19"/>
      <c r="B142" s="19"/>
      <c r="C142" s="6"/>
      <c r="D142" s="6"/>
    </row>
    <row r="143">
      <c r="A143" s="19"/>
      <c r="B143" s="19"/>
      <c r="C143" s="6"/>
      <c r="D143" s="6"/>
    </row>
    <row r="144">
      <c r="A144" s="19"/>
      <c r="B144" s="19"/>
      <c r="C144" s="6"/>
      <c r="D144" s="6"/>
    </row>
    <row r="145">
      <c r="A145" s="19"/>
      <c r="B145" s="19"/>
      <c r="C145" s="6"/>
      <c r="D145" s="6"/>
    </row>
    <row r="146">
      <c r="A146" s="19"/>
      <c r="B146" s="19"/>
      <c r="C146" s="6"/>
      <c r="D146" s="6"/>
    </row>
    <row r="147">
      <c r="A147" s="19"/>
      <c r="B147" s="19"/>
      <c r="C147" s="6"/>
      <c r="D147" s="6"/>
    </row>
    <row r="148">
      <c r="A148" s="19"/>
      <c r="B148" s="19"/>
      <c r="C148" s="6"/>
      <c r="D148" s="6"/>
    </row>
    <row r="149">
      <c r="A149" s="19"/>
      <c r="B149" s="19"/>
      <c r="C149" s="6"/>
      <c r="D149" s="6"/>
    </row>
    <row r="150">
      <c r="A150" s="19"/>
      <c r="B150" s="19"/>
      <c r="C150" s="6"/>
      <c r="D150" s="6"/>
    </row>
    <row r="151">
      <c r="A151" s="19"/>
      <c r="B151" s="19"/>
      <c r="C151" s="6"/>
      <c r="D151" s="6"/>
    </row>
    <row r="152">
      <c r="A152" s="19"/>
      <c r="B152" s="19"/>
      <c r="C152" s="6"/>
      <c r="D152" s="6"/>
    </row>
    <row r="153">
      <c r="A153" s="19"/>
      <c r="B153" s="19"/>
      <c r="C153" s="6"/>
      <c r="D153" s="6"/>
    </row>
    <row r="154">
      <c r="A154" s="19"/>
      <c r="B154" s="19"/>
      <c r="C154" s="6"/>
      <c r="D154" s="6"/>
    </row>
    <row r="155">
      <c r="A155" s="19"/>
      <c r="B155" s="19"/>
      <c r="C155" s="6"/>
      <c r="D155" s="6"/>
    </row>
    <row r="156">
      <c r="A156" s="19"/>
      <c r="B156" s="19"/>
      <c r="C156" s="6"/>
      <c r="D156" s="6"/>
    </row>
    <row r="157">
      <c r="A157" s="19"/>
      <c r="B157" s="19"/>
      <c r="C157" s="6"/>
      <c r="D157" s="6"/>
    </row>
    <row r="158">
      <c r="A158" s="19"/>
      <c r="B158" s="19"/>
      <c r="C158" s="4"/>
      <c r="D158" s="6"/>
    </row>
    <row r="159">
      <c r="A159" s="19"/>
      <c r="B159" s="19"/>
      <c r="C159" s="6"/>
      <c r="D159" s="6"/>
    </row>
    <row r="160">
      <c r="A160" s="19"/>
      <c r="B160" s="19"/>
      <c r="C160" s="6"/>
      <c r="D160" s="6"/>
    </row>
    <row r="161">
      <c r="A161" s="19"/>
      <c r="B161" s="19"/>
      <c r="C161" s="6"/>
      <c r="D161" s="4"/>
    </row>
    <row r="162">
      <c r="A162" s="19"/>
      <c r="B162" s="19"/>
      <c r="C162" s="6"/>
      <c r="D162" s="6"/>
    </row>
    <row r="163">
      <c r="A163" s="19"/>
      <c r="B163" s="19"/>
      <c r="C163" s="6"/>
      <c r="D163" s="6"/>
    </row>
    <row r="164">
      <c r="A164" s="19"/>
      <c r="B164" s="19"/>
      <c r="C164" s="6"/>
      <c r="D164" s="6"/>
    </row>
    <row r="165">
      <c r="A165" s="19"/>
      <c r="B165" s="19"/>
      <c r="C165" s="6"/>
      <c r="D165" s="6"/>
    </row>
    <row r="166">
      <c r="A166" s="19"/>
      <c r="B166" s="19"/>
      <c r="C166" s="6"/>
      <c r="D166" s="6"/>
    </row>
    <row r="167">
      <c r="A167" s="19"/>
      <c r="B167" s="19"/>
      <c r="C167" s="6"/>
      <c r="D167" s="6"/>
    </row>
    <row r="168">
      <c r="A168" s="19"/>
      <c r="B168" s="19"/>
      <c r="C168" s="6"/>
      <c r="D168" s="6"/>
    </row>
    <row r="169">
      <c r="A169" s="19"/>
      <c r="B169" s="19"/>
      <c r="C169" s="6"/>
      <c r="D169" s="6"/>
    </row>
    <row r="170">
      <c r="A170" s="19"/>
      <c r="B170" s="19"/>
      <c r="C170" s="6"/>
      <c r="D170" s="6"/>
    </row>
    <row r="171">
      <c r="A171" s="19"/>
      <c r="B171" s="19"/>
      <c r="C171" s="6"/>
      <c r="D171" s="6"/>
    </row>
    <row r="172">
      <c r="A172" s="19"/>
      <c r="B172" s="19"/>
      <c r="C172" s="6"/>
      <c r="D172" s="6"/>
    </row>
    <row r="173">
      <c r="A173" s="19"/>
      <c r="B173" s="19"/>
      <c r="C173" s="6"/>
      <c r="D173" s="6"/>
    </row>
    <row r="174">
      <c r="A174" s="19"/>
      <c r="B174" s="19"/>
      <c r="C174" s="6"/>
      <c r="D174" s="6"/>
    </row>
    <row r="175">
      <c r="A175" s="19"/>
      <c r="B175" s="19"/>
      <c r="C175" s="6"/>
      <c r="D175" s="6"/>
    </row>
    <row r="176">
      <c r="A176" s="19"/>
      <c r="B176" s="19"/>
      <c r="C176" s="6"/>
      <c r="D176" s="6"/>
    </row>
    <row r="177">
      <c r="A177" s="19"/>
      <c r="B177" s="19"/>
      <c r="C177" s="6"/>
      <c r="D177" s="6"/>
    </row>
    <row r="178">
      <c r="A178" s="19"/>
      <c r="B178" s="19"/>
      <c r="C178" s="4"/>
      <c r="D178" s="6"/>
    </row>
    <row r="179">
      <c r="A179" s="19"/>
      <c r="B179" s="19"/>
      <c r="C179" s="6"/>
      <c r="D179" s="6"/>
    </row>
    <row r="180">
      <c r="A180" s="19"/>
      <c r="B180" s="19"/>
      <c r="C180" s="6"/>
      <c r="D180" s="6"/>
    </row>
    <row r="181">
      <c r="A181" s="19"/>
      <c r="B181" s="19"/>
      <c r="C181" s="6"/>
      <c r="D181" s="4"/>
    </row>
    <row r="182">
      <c r="A182" s="19"/>
      <c r="B182" s="19"/>
      <c r="C182" s="6"/>
      <c r="D182" s="6"/>
    </row>
    <row r="183">
      <c r="A183" s="19"/>
      <c r="B183" s="19"/>
      <c r="C183" s="6"/>
      <c r="D183" s="6"/>
    </row>
    <row r="184">
      <c r="A184" s="19"/>
      <c r="B184" s="19"/>
      <c r="C184" s="6"/>
      <c r="D184" s="6"/>
    </row>
    <row r="185">
      <c r="A185" s="19"/>
      <c r="B185" s="19"/>
      <c r="C185" s="6"/>
      <c r="D185" s="6"/>
    </row>
    <row r="186">
      <c r="A186" s="19"/>
      <c r="B186" s="19"/>
      <c r="C186" s="6"/>
      <c r="D186" s="6"/>
    </row>
    <row r="187">
      <c r="A187" s="19"/>
      <c r="B187" s="19"/>
      <c r="C187" s="6"/>
      <c r="D187" s="6"/>
    </row>
    <row r="188">
      <c r="A188" s="19"/>
      <c r="B188" s="19"/>
      <c r="C188" s="6"/>
      <c r="D188" s="6"/>
    </row>
    <row r="189">
      <c r="A189" s="19"/>
      <c r="B189" s="19"/>
      <c r="C189" s="6"/>
      <c r="D189" s="6"/>
    </row>
    <row r="190">
      <c r="A190" s="19"/>
      <c r="B190" s="19"/>
      <c r="C190" s="6"/>
      <c r="D190" s="6"/>
    </row>
    <row r="191">
      <c r="A191" s="19"/>
      <c r="B191" s="19"/>
      <c r="C191" s="6"/>
      <c r="D191" s="6"/>
    </row>
    <row r="192">
      <c r="A192" s="19"/>
      <c r="B192" s="19"/>
      <c r="C192" s="6"/>
      <c r="D192" s="6"/>
    </row>
    <row r="193">
      <c r="A193" s="19"/>
      <c r="B193" s="19"/>
      <c r="C193" s="6"/>
      <c r="D193" s="6"/>
    </row>
    <row r="194">
      <c r="A194" s="19"/>
      <c r="B194" s="19"/>
      <c r="C194" s="6"/>
      <c r="D194" s="6"/>
    </row>
    <row r="195">
      <c r="A195" s="19"/>
      <c r="B195" s="19"/>
      <c r="C195" s="6"/>
      <c r="D195" s="6"/>
    </row>
    <row r="196">
      <c r="A196" s="19"/>
      <c r="B196" s="19"/>
      <c r="C196" s="6"/>
      <c r="D196" s="6"/>
    </row>
    <row r="197">
      <c r="A197" s="19"/>
      <c r="B197" s="19"/>
      <c r="C197" s="6"/>
      <c r="D197" s="6"/>
    </row>
    <row r="198">
      <c r="A198" s="19"/>
      <c r="B198" s="19"/>
      <c r="C198" s="4"/>
      <c r="D198" s="6"/>
    </row>
    <row r="199">
      <c r="A199" s="19"/>
      <c r="B199" s="19"/>
      <c r="C199" s="6"/>
      <c r="D199" s="6"/>
    </row>
    <row r="200">
      <c r="A200" s="19"/>
      <c r="B200" s="19"/>
      <c r="C200" s="6"/>
      <c r="D200" s="6"/>
    </row>
    <row r="201">
      <c r="A201" s="19"/>
      <c r="B201" s="19"/>
      <c r="C201" s="6"/>
      <c r="D201" s="4"/>
    </row>
    <row r="202">
      <c r="A202" s="19"/>
      <c r="B202" s="19"/>
      <c r="C202" s="6"/>
      <c r="D202" s="6"/>
    </row>
    <row r="203">
      <c r="A203" s="19"/>
      <c r="B203" s="19"/>
      <c r="C203" s="6"/>
      <c r="D203" s="6"/>
    </row>
    <row r="204">
      <c r="A204" s="19"/>
      <c r="B204" s="19"/>
      <c r="C204" s="6"/>
      <c r="D204" s="6"/>
    </row>
    <row r="205">
      <c r="A205" s="19"/>
      <c r="B205" s="19"/>
      <c r="C205" s="6"/>
      <c r="D205" s="6"/>
    </row>
    <row r="206">
      <c r="A206" s="19"/>
      <c r="B206" s="19"/>
      <c r="C206" s="6"/>
      <c r="D206" s="6"/>
    </row>
    <row r="207">
      <c r="A207" s="19"/>
      <c r="B207" s="19"/>
      <c r="C207" s="6"/>
      <c r="D207" s="6"/>
    </row>
    <row r="208">
      <c r="A208" s="19"/>
      <c r="B208" s="19"/>
      <c r="C208" s="6"/>
      <c r="D208" s="6"/>
    </row>
    <row r="209">
      <c r="A209" s="19"/>
      <c r="B209" s="19"/>
      <c r="C209" s="6"/>
      <c r="D209" s="6"/>
    </row>
    <row r="210">
      <c r="A210" s="19"/>
      <c r="B210" s="19"/>
      <c r="C210" s="6"/>
      <c r="D210" s="6"/>
    </row>
    <row r="211">
      <c r="A211" s="19"/>
      <c r="B211" s="19"/>
      <c r="C211" s="6"/>
      <c r="D211" s="6"/>
    </row>
    <row r="212">
      <c r="A212" s="19"/>
      <c r="B212" s="19"/>
      <c r="C212" s="6"/>
      <c r="D212" s="6"/>
    </row>
    <row r="213">
      <c r="A213" s="19"/>
      <c r="B213" s="19"/>
      <c r="C213" s="6"/>
      <c r="D213" s="6"/>
    </row>
    <row r="214">
      <c r="A214" s="19"/>
      <c r="B214" s="19"/>
      <c r="C214" s="6"/>
      <c r="D214" s="6"/>
    </row>
    <row r="215">
      <c r="A215" s="19"/>
      <c r="B215" s="19"/>
      <c r="C215" s="6"/>
      <c r="D215" s="6"/>
    </row>
    <row r="216">
      <c r="A216" s="19"/>
      <c r="B216" s="19"/>
      <c r="C216" s="6"/>
      <c r="D216" s="6"/>
    </row>
    <row r="217">
      <c r="A217" s="19"/>
      <c r="B217" s="19"/>
      <c r="C217" s="6"/>
      <c r="D217" s="6"/>
    </row>
    <row r="218">
      <c r="A218" s="19"/>
      <c r="B218" s="19"/>
      <c r="C218" s="4"/>
      <c r="D218" s="6"/>
    </row>
    <row r="219">
      <c r="A219" s="19"/>
      <c r="B219" s="19"/>
      <c r="C219" s="6"/>
      <c r="D219" s="6"/>
    </row>
    <row r="220">
      <c r="A220" s="19"/>
      <c r="B220" s="19"/>
      <c r="C220" s="6"/>
      <c r="D220" s="6"/>
    </row>
    <row r="221">
      <c r="A221" s="19"/>
      <c r="B221" s="19"/>
      <c r="C221" s="6"/>
      <c r="D221" s="4"/>
    </row>
    <row r="222">
      <c r="A222" s="19"/>
      <c r="B222" s="19"/>
      <c r="C222" s="6"/>
      <c r="D222" s="6"/>
    </row>
    <row r="223">
      <c r="A223" s="19"/>
      <c r="B223" s="19"/>
      <c r="C223" s="6"/>
      <c r="D223" s="6"/>
    </row>
    <row r="224">
      <c r="A224" s="19"/>
      <c r="B224" s="19"/>
      <c r="C224" s="6"/>
      <c r="D224" s="6"/>
    </row>
    <row r="225">
      <c r="A225" s="19"/>
      <c r="B225" s="19"/>
      <c r="C225" s="6"/>
      <c r="D225" s="6"/>
    </row>
    <row r="226">
      <c r="A226" s="19"/>
      <c r="B226" s="19"/>
      <c r="C226" s="6"/>
      <c r="D226" s="6"/>
    </row>
    <row r="227">
      <c r="A227" s="19"/>
      <c r="B227" s="19"/>
      <c r="C227" s="6"/>
      <c r="D227" s="6"/>
    </row>
    <row r="228">
      <c r="A228" s="19"/>
      <c r="B228" s="19"/>
      <c r="C228" s="6"/>
      <c r="D228" s="6"/>
    </row>
    <row r="229">
      <c r="A229" s="19"/>
      <c r="B229" s="19"/>
      <c r="C229" s="6"/>
      <c r="D229" s="6"/>
    </row>
    <row r="230">
      <c r="A230" s="19"/>
      <c r="B230" s="19"/>
      <c r="C230" s="6"/>
      <c r="D230" s="6"/>
    </row>
    <row r="231">
      <c r="A231" s="19"/>
      <c r="B231" s="19"/>
      <c r="C231" s="6"/>
      <c r="D231" s="6"/>
    </row>
    <row r="232">
      <c r="A232" s="19"/>
      <c r="B232" s="19"/>
      <c r="C232" s="6"/>
      <c r="D232" s="6"/>
    </row>
    <row r="233">
      <c r="A233" s="19"/>
      <c r="B233" s="19"/>
      <c r="C233" s="6"/>
      <c r="D233" s="6"/>
    </row>
    <row r="234">
      <c r="A234" s="19"/>
      <c r="B234" s="19"/>
      <c r="C234" s="6"/>
      <c r="D234" s="6"/>
    </row>
    <row r="235">
      <c r="A235" s="19"/>
      <c r="B235" s="19"/>
      <c r="C235" s="6"/>
      <c r="D235" s="6"/>
    </row>
    <row r="236">
      <c r="A236" s="19"/>
      <c r="B236" s="19"/>
      <c r="C236" s="6"/>
      <c r="D236" s="6"/>
    </row>
    <row r="237">
      <c r="A237" s="19"/>
      <c r="B237" s="19"/>
      <c r="C237" s="6"/>
      <c r="D237" s="6"/>
    </row>
    <row r="238">
      <c r="A238" s="19"/>
      <c r="B238" s="19"/>
      <c r="C238" s="4"/>
      <c r="D238" s="6"/>
    </row>
    <row r="239">
      <c r="A239" s="19"/>
      <c r="B239" s="19"/>
      <c r="C239" s="6"/>
      <c r="D239" s="6"/>
    </row>
    <row r="240">
      <c r="A240" s="19"/>
      <c r="B240" s="19"/>
      <c r="C240" s="6"/>
      <c r="D240" s="6"/>
    </row>
    <row r="241">
      <c r="A241" s="19"/>
      <c r="B241" s="19"/>
      <c r="C241" s="6"/>
      <c r="D241" s="4"/>
    </row>
    <row r="242">
      <c r="A242" s="19"/>
      <c r="B242" s="19"/>
      <c r="C242" s="6"/>
      <c r="D242" s="6"/>
    </row>
    <row r="243">
      <c r="A243" s="19"/>
      <c r="B243" s="19"/>
      <c r="C243" s="6"/>
      <c r="D243" s="6"/>
    </row>
    <row r="244">
      <c r="A244" s="19"/>
      <c r="B244" s="19"/>
      <c r="C244" s="6"/>
      <c r="D244" s="6"/>
    </row>
    <row r="245">
      <c r="A245" s="19"/>
      <c r="B245" s="19"/>
      <c r="C245" s="6"/>
      <c r="D245" s="6"/>
    </row>
    <row r="246">
      <c r="A246" s="19"/>
      <c r="B246" s="19"/>
      <c r="C246" s="6"/>
      <c r="D246" s="6"/>
    </row>
    <row r="247">
      <c r="A247" s="19"/>
      <c r="B247" s="19"/>
      <c r="C247" s="6"/>
      <c r="D247" s="6"/>
    </row>
    <row r="248">
      <c r="A248" s="19"/>
      <c r="B248" s="19"/>
      <c r="C248" s="6"/>
      <c r="D248" s="6"/>
    </row>
    <row r="249">
      <c r="A249" s="19"/>
      <c r="B249" s="19"/>
      <c r="C249" s="6"/>
      <c r="D249" s="6"/>
    </row>
    <row r="250">
      <c r="A250" s="19"/>
      <c r="B250" s="19"/>
      <c r="C250" s="6"/>
      <c r="D250" s="6"/>
    </row>
    <row r="251">
      <c r="A251" s="19"/>
      <c r="B251" s="19"/>
      <c r="C251" s="6"/>
      <c r="D251" s="6"/>
    </row>
    <row r="252">
      <c r="A252" s="19"/>
      <c r="B252" s="19"/>
      <c r="C252" s="6"/>
      <c r="D252" s="6"/>
    </row>
    <row r="253">
      <c r="A253" s="19"/>
      <c r="B253" s="19"/>
      <c r="C253" s="6"/>
      <c r="D253" s="6"/>
    </row>
    <row r="254">
      <c r="A254" s="19"/>
      <c r="B254" s="19"/>
      <c r="C254" s="6"/>
      <c r="D254" s="6"/>
    </row>
    <row r="255">
      <c r="A255" s="19"/>
      <c r="B255" s="19"/>
      <c r="C255" s="6"/>
      <c r="D255" s="6"/>
    </row>
    <row r="256">
      <c r="A256" s="19"/>
      <c r="B256" s="19"/>
      <c r="C256" s="6"/>
      <c r="D256" s="6"/>
    </row>
    <row r="257">
      <c r="A257" s="19"/>
      <c r="B257" s="19"/>
      <c r="C257" s="6"/>
      <c r="D257" s="6"/>
    </row>
    <row r="258">
      <c r="A258" s="19"/>
      <c r="B258" s="19"/>
      <c r="C258" s="4"/>
      <c r="D258" s="6"/>
    </row>
    <row r="259">
      <c r="A259" s="19"/>
      <c r="B259" s="19"/>
      <c r="C259" s="6"/>
      <c r="D259" s="6"/>
    </row>
    <row r="260">
      <c r="A260" s="19"/>
      <c r="B260" s="19"/>
      <c r="C260" s="6"/>
      <c r="D260" s="6"/>
    </row>
    <row r="261">
      <c r="A261" s="19"/>
      <c r="B261" s="19"/>
      <c r="C261" s="6"/>
      <c r="D261" s="4"/>
    </row>
    <row r="262">
      <c r="A262" s="19"/>
      <c r="B262" s="19"/>
      <c r="C262" s="6"/>
      <c r="D262" s="6"/>
    </row>
    <row r="263">
      <c r="A263" s="19"/>
      <c r="B263" s="19"/>
      <c r="C263" s="6"/>
      <c r="D263" s="6"/>
    </row>
    <row r="264">
      <c r="A264" s="19"/>
      <c r="B264" s="19"/>
      <c r="C264" s="6"/>
      <c r="D264" s="6"/>
    </row>
    <row r="265">
      <c r="A265" s="19"/>
      <c r="B265" s="19"/>
      <c r="C265" s="6"/>
      <c r="D265" s="6"/>
    </row>
    <row r="266">
      <c r="A266" s="19"/>
      <c r="B266" s="19"/>
      <c r="C266" s="6"/>
      <c r="D266" s="6"/>
    </row>
    <row r="267">
      <c r="A267" s="19"/>
      <c r="B267" s="19"/>
      <c r="C267" s="6"/>
      <c r="D267" s="6"/>
    </row>
    <row r="268">
      <c r="A268" s="19"/>
      <c r="B268" s="19"/>
      <c r="C268" s="6"/>
      <c r="D268" s="6"/>
    </row>
    <row r="269">
      <c r="A269" s="19"/>
      <c r="B269" s="19"/>
      <c r="C269" s="6"/>
      <c r="D269" s="6"/>
    </row>
    <row r="270">
      <c r="A270" s="19"/>
      <c r="B270" s="19"/>
      <c r="C270" s="6"/>
      <c r="D270" s="6"/>
    </row>
    <row r="271">
      <c r="A271" s="19"/>
      <c r="B271" s="19"/>
      <c r="C271" s="6"/>
      <c r="D271" s="6"/>
    </row>
    <row r="272">
      <c r="A272" s="19"/>
      <c r="B272" s="19"/>
      <c r="C272" s="6"/>
      <c r="D272" s="6"/>
    </row>
    <row r="273">
      <c r="A273" s="19"/>
      <c r="B273" s="19"/>
      <c r="C273" s="6"/>
      <c r="D273" s="6"/>
    </row>
    <row r="274">
      <c r="A274" s="19"/>
      <c r="B274" s="19"/>
      <c r="C274" s="6"/>
      <c r="D274" s="6"/>
    </row>
    <row r="275">
      <c r="A275" s="19"/>
      <c r="B275" s="19"/>
      <c r="C275" s="6"/>
      <c r="D275" s="6"/>
    </row>
    <row r="276">
      <c r="A276" s="19"/>
      <c r="B276" s="19"/>
      <c r="C276" s="6"/>
      <c r="D276" s="6"/>
    </row>
    <row r="277">
      <c r="A277" s="19"/>
      <c r="B277" s="19"/>
      <c r="C277" s="6"/>
      <c r="D277" s="6"/>
    </row>
    <row r="278">
      <c r="A278" s="19"/>
      <c r="B278" s="19"/>
      <c r="C278" s="4"/>
      <c r="D278" s="6"/>
    </row>
    <row r="279">
      <c r="A279" s="19"/>
      <c r="B279" s="19"/>
      <c r="C279" s="6"/>
      <c r="D279" s="6"/>
    </row>
    <row r="280">
      <c r="A280" s="19"/>
      <c r="B280" s="19"/>
      <c r="C280" s="6"/>
      <c r="D280" s="6"/>
    </row>
    <row r="281">
      <c r="A281" s="19"/>
      <c r="B281" s="19"/>
      <c r="C281" s="6"/>
      <c r="D281" s="4"/>
    </row>
    <row r="282">
      <c r="A282" s="19"/>
      <c r="B282" s="19"/>
      <c r="C282" s="6"/>
      <c r="D282" s="6"/>
    </row>
    <row r="283">
      <c r="A283" s="19"/>
      <c r="B283" s="19"/>
      <c r="C283" s="6"/>
      <c r="D283" s="6"/>
    </row>
    <row r="284">
      <c r="A284" s="19"/>
      <c r="B284" s="19"/>
      <c r="C284" s="6"/>
      <c r="D284" s="6"/>
    </row>
    <row r="285">
      <c r="A285" s="19"/>
      <c r="B285" s="19"/>
      <c r="C285" s="6"/>
      <c r="D285" s="6"/>
    </row>
    <row r="286">
      <c r="A286" s="19"/>
      <c r="B286" s="19"/>
      <c r="C286" s="6"/>
      <c r="D286" s="6"/>
    </row>
    <row r="287">
      <c r="A287" s="19"/>
      <c r="B287" s="19"/>
      <c r="C287" s="6"/>
      <c r="D287" s="6"/>
    </row>
    <row r="288">
      <c r="A288" s="19"/>
      <c r="B288" s="19"/>
      <c r="C288" s="6"/>
      <c r="D288" s="6"/>
    </row>
    <row r="289">
      <c r="A289" s="19"/>
      <c r="B289" s="19"/>
      <c r="C289" s="6"/>
      <c r="D289" s="6"/>
    </row>
    <row r="290">
      <c r="A290" s="19"/>
      <c r="B290" s="19"/>
      <c r="C290" s="6"/>
      <c r="D290" s="6"/>
    </row>
    <row r="291">
      <c r="A291" s="19"/>
      <c r="B291" s="19"/>
      <c r="C291" s="6"/>
      <c r="D291" s="6"/>
    </row>
    <row r="292">
      <c r="A292" s="19"/>
      <c r="B292" s="19"/>
      <c r="C292" s="6"/>
      <c r="D292" s="6"/>
    </row>
    <row r="293">
      <c r="A293" s="19"/>
      <c r="B293" s="19"/>
      <c r="C293" s="6"/>
      <c r="D293" s="6"/>
    </row>
    <row r="294">
      <c r="A294" s="19"/>
      <c r="B294" s="19"/>
      <c r="C294" s="6"/>
      <c r="D294" s="6"/>
    </row>
    <row r="295">
      <c r="A295" s="19"/>
      <c r="B295" s="19"/>
      <c r="C295" s="6"/>
      <c r="D295" s="6"/>
    </row>
    <row r="296">
      <c r="A296" s="19"/>
      <c r="B296" s="19"/>
      <c r="C296" s="6"/>
      <c r="D296" s="6"/>
    </row>
    <row r="297">
      <c r="A297" s="19"/>
      <c r="B297" s="19"/>
      <c r="C297" s="6"/>
      <c r="D297" s="6"/>
    </row>
    <row r="298">
      <c r="A298" s="19"/>
      <c r="B298" s="19"/>
      <c r="C298" s="4"/>
      <c r="D298" s="6"/>
    </row>
    <row r="299">
      <c r="A299" s="19"/>
      <c r="B299" s="19"/>
      <c r="C299" s="6"/>
      <c r="D299" s="6"/>
    </row>
    <row r="300">
      <c r="A300" s="19"/>
      <c r="B300" s="19"/>
      <c r="C300" s="6"/>
      <c r="D300" s="6"/>
    </row>
    <row r="301">
      <c r="A301" s="19"/>
      <c r="B301" s="19"/>
      <c r="C301" s="6"/>
      <c r="D301" s="4"/>
    </row>
    <row r="302">
      <c r="A302" s="19"/>
      <c r="B302" s="19"/>
      <c r="C302" s="6"/>
      <c r="D302" s="6"/>
    </row>
    <row r="303">
      <c r="A303" s="19"/>
      <c r="B303" s="19"/>
      <c r="C303" s="6"/>
      <c r="D303" s="6"/>
    </row>
    <row r="304">
      <c r="A304" s="19"/>
      <c r="B304" s="19"/>
      <c r="C304" s="6"/>
      <c r="D304" s="6"/>
    </row>
    <row r="305">
      <c r="A305" s="19"/>
      <c r="B305" s="19"/>
      <c r="C305" s="6"/>
      <c r="D305" s="6"/>
    </row>
    <row r="306">
      <c r="A306" s="19"/>
      <c r="B306" s="19"/>
      <c r="C306" s="6"/>
      <c r="D306" s="6"/>
    </row>
    <row r="307">
      <c r="A307" s="19"/>
      <c r="B307" s="19"/>
      <c r="C307" s="6"/>
      <c r="D307" s="6"/>
    </row>
    <row r="308">
      <c r="A308" s="19"/>
      <c r="B308" s="19"/>
      <c r="C308" s="6"/>
      <c r="D308" s="6"/>
    </row>
    <row r="309">
      <c r="A309" s="19"/>
      <c r="B309" s="19"/>
      <c r="C309" s="6"/>
      <c r="D309" s="6"/>
    </row>
    <row r="310">
      <c r="A310" s="19"/>
      <c r="B310" s="19"/>
      <c r="C310" s="6"/>
      <c r="D310" s="6"/>
    </row>
    <row r="311">
      <c r="A311" s="19"/>
      <c r="B311" s="19"/>
      <c r="C311" s="6"/>
      <c r="D311" s="6"/>
    </row>
    <row r="312">
      <c r="A312" s="19"/>
      <c r="B312" s="19"/>
      <c r="C312" s="6"/>
      <c r="D312" s="6"/>
    </row>
    <row r="313">
      <c r="A313" s="19"/>
      <c r="B313" s="19"/>
      <c r="C313" s="6"/>
      <c r="D313" s="6"/>
    </row>
    <row r="314">
      <c r="A314" s="19"/>
      <c r="B314" s="19"/>
      <c r="C314" s="6"/>
      <c r="D314" s="6"/>
    </row>
    <row r="315">
      <c r="A315" s="19"/>
      <c r="B315" s="19"/>
      <c r="C315" s="6"/>
      <c r="D315" s="6"/>
    </row>
    <row r="316">
      <c r="A316" s="19"/>
      <c r="B316" s="19"/>
      <c r="C316" s="6"/>
      <c r="D316" s="6"/>
    </row>
    <row r="317">
      <c r="A317" s="19"/>
      <c r="B317" s="19"/>
      <c r="C317" s="6"/>
      <c r="D317" s="6"/>
    </row>
    <row r="318">
      <c r="A318" s="19"/>
      <c r="B318" s="19"/>
      <c r="C318" s="4"/>
      <c r="D318" s="6"/>
    </row>
    <row r="319">
      <c r="A319" s="19"/>
      <c r="B319" s="19"/>
      <c r="C319" s="6"/>
      <c r="D319" s="6"/>
    </row>
    <row r="320">
      <c r="A320" s="19"/>
      <c r="B320" s="19"/>
      <c r="C320" s="6"/>
      <c r="D320" s="6"/>
    </row>
    <row r="321">
      <c r="A321" s="19"/>
      <c r="B321" s="19"/>
      <c r="C321" s="6"/>
      <c r="D321" s="4"/>
    </row>
    <row r="322">
      <c r="A322" s="19"/>
      <c r="B322" s="19"/>
      <c r="C322" s="6"/>
      <c r="D322" s="6"/>
    </row>
    <row r="323">
      <c r="A323" s="19"/>
      <c r="B323" s="19"/>
      <c r="C323" s="6"/>
      <c r="D323" s="6"/>
    </row>
    <row r="324">
      <c r="A324" s="19"/>
      <c r="B324" s="19"/>
      <c r="C324" s="6"/>
      <c r="D324" s="6"/>
    </row>
    <row r="325">
      <c r="A325" s="19"/>
      <c r="B325" s="19"/>
      <c r="C325" s="6"/>
      <c r="D325" s="6"/>
    </row>
    <row r="326">
      <c r="A326" s="19"/>
      <c r="B326" s="19"/>
      <c r="C326" s="6"/>
      <c r="D326" s="6"/>
    </row>
    <row r="327">
      <c r="A327" s="19"/>
      <c r="B327" s="19"/>
      <c r="C327" s="6"/>
      <c r="D327" s="6"/>
    </row>
    <row r="328">
      <c r="A328" s="19"/>
      <c r="B328" s="19"/>
      <c r="C328" s="6"/>
      <c r="D328" s="6"/>
    </row>
    <row r="329">
      <c r="A329" s="19"/>
      <c r="B329" s="19"/>
      <c r="C329" s="6"/>
      <c r="D329" s="6"/>
    </row>
    <row r="330">
      <c r="A330" s="19"/>
      <c r="B330" s="19"/>
      <c r="C330" s="6"/>
      <c r="D330" s="6"/>
    </row>
    <row r="331">
      <c r="A331" s="19"/>
      <c r="B331" s="19"/>
      <c r="C331" s="6"/>
      <c r="D331" s="6"/>
    </row>
    <row r="332">
      <c r="A332" s="19"/>
      <c r="B332" s="19"/>
      <c r="C332" s="6"/>
      <c r="D332" s="6"/>
    </row>
    <row r="333">
      <c r="A333" s="19"/>
      <c r="B333" s="19"/>
      <c r="C333" s="6"/>
      <c r="D333" s="6"/>
    </row>
    <row r="334">
      <c r="A334" s="19"/>
      <c r="B334" s="19"/>
      <c r="C334" s="6"/>
      <c r="D334" s="6"/>
    </row>
    <row r="335">
      <c r="A335" s="19"/>
      <c r="B335" s="19"/>
      <c r="C335" s="6"/>
      <c r="D335" s="6"/>
    </row>
    <row r="336">
      <c r="A336" s="19"/>
      <c r="B336" s="19"/>
      <c r="C336" s="6"/>
      <c r="D336" s="6"/>
    </row>
    <row r="337">
      <c r="A337" s="19"/>
      <c r="B337" s="19"/>
      <c r="C337" s="6"/>
      <c r="D337" s="6"/>
    </row>
    <row r="338">
      <c r="A338" s="19"/>
      <c r="B338" s="19"/>
      <c r="C338" s="4"/>
      <c r="D338" s="6"/>
    </row>
    <row r="339">
      <c r="A339" s="19"/>
      <c r="B339" s="19"/>
      <c r="C339" s="6"/>
      <c r="D339" s="6"/>
    </row>
    <row r="340">
      <c r="A340" s="19"/>
      <c r="B340" s="19"/>
      <c r="C340" s="6"/>
      <c r="D340" s="6"/>
    </row>
    <row r="341">
      <c r="A341" s="19"/>
      <c r="B341" s="19"/>
      <c r="C341" s="6"/>
      <c r="D341" s="4"/>
    </row>
    <row r="342">
      <c r="A342" s="19"/>
      <c r="B342" s="19"/>
      <c r="C342" s="6"/>
      <c r="D342" s="6"/>
    </row>
    <row r="343">
      <c r="A343" s="19"/>
      <c r="B343" s="19"/>
      <c r="C343" s="6"/>
      <c r="D343" s="6"/>
    </row>
    <row r="344">
      <c r="A344" s="19"/>
      <c r="B344" s="19"/>
      <c r="C344" s="6"/>
      <c r="D344" s="6"/>
    </row>
    <row r="345">
      <c r="A345" s="19"/>
      <c r="B345" s="19"/>
      <c r="C345" s="6"/>
      <c r="D345" s="6"/>
    </row>
    <row r="346">
      <c r="A346" s="19"/>
      <c r="B346" s="19"/>
      <c r="C346" s="6"/>
      <c r="D346" s="6"/>
    </row>
    <row r="347">
      <c r="A347" s="19"/>
      <c r="B347" s="19"/>
      <c r="C347" s="6"/>
      <c r="D347" s="6"/>
    </row>
    <row r="348">
      <c r="A348" s="19"/>
      <c r="B348" s="19"/>
      <c r="C348" s="6"/>
      <c r="D348" s="6"/>
    </row>
    <row r="349">
      <c r="A349" s="19"/>
      <c r="B349" s="19"/>
      <c r="C349" s="6"/>
      <c r="D349" s="6"/>
    </row>
    <row r="350">
      <c r="A350" s="19"/>
      <c r="B350" s="19"/>
      <c r="C350" s="6"/>
      <c r="D350" s="6"/>
    </row>
    <row r="351">
      <c r="A351" s="19"/>
      <c r="B351" s="19"/>
      <c r="C351" s="6"/>
      <c r="D351" s="6"/>
    </row>
    <row r="352">
      <c r="A352" s="19"/>
      <c r="B352" s="19"/>
      <c r="C352" s="6"/>
      <c r="D352" s="6"/>
    </row>
    <row r="353">
      <c r="A353" s="19"/>
      <c r="B353" s="19"/>
      <c r="C353" s="6"/>
      <c r="D353" s="6"/>
    </row>
    <row r="354">
      <c r="A354" s="19"/>
      <c r="B354" s="19"/>
      <c r="C354" s="6"/>
      <c r="D354" s="6"/>
    </row>
    <row r="355">
      <c r="A355" s="19"/>
      <c r="B355" s="19"/>
      <c r="C355" s="6"/>
      <c r="D355" s="6"/>
    </row>
    <row r="356">
      <c r="A356" s="19"/>
      <c r="B356" s="19"/>
      <c r="C356" s="6"/>
      <c r="D356" s="6"/>
    </row>
    <row r="357">
      <c r="A357" s="19"/>
      <c r="B357" s="19"/>
      <c r="C357" s="6"/>
      <c r="D357" s="6"/>
    </row>
    <row r="358">
      <c r="A358" s="19"/>
      <c r="B358" s="19"/>
      <c r="C358" s="4"/>
      <c r="D358" s="6"/>
    </row>
    <row r="359">
      <c r="A359" s="19"/>
      <c r="B359" s="19"/>
      <c r="C359" s="6"/>
      <c r="D359" s="6"/>
    </row>
    <row r="360">
      <c r="A360" s="19"/>
      <c r="B360" s="19"/>
      <c r="C360" s="6"/>
      <c r="D360" s="6"/>
    </row>
    <row r="361">
      <c r="A361" s="19"/>
      <c r="B361" s="19"/>
      <c r="C361" s="6"/>
      <c r="D361" s="4"/>
    </row>
    <row r="362">
      <c r="A362" s="19"/>
      <c r="B362" s="19"/>
      <c r="C362" s="6"/>
      <c r="D362" s="6"/>
    </row>
    <row r="363">
      <c r="A363" s="19"/>
      <c r="B363" s="19"/>
      <c r="C363" s="6"/>
      <c r="D363" s="6"/>
    </row>
    <row r="364">
      <c r="A364" s="19"/>
      <c r="B364" s="19"/>
      <c r="C364" s="6"/>
      <c r="D364" s="6"/>
    </row>
    <row r="365">
      <c r="A365" s="19"/>
      <c r="B365" s="19"/>
      <c r="C365" s="6"/>
      <c r="D365" s="6"/>
    </row>
    <row r="366">
      <c r="A366" s="19"/>
      <c r="B366" s="19"/>
      <c r="C366" s="6"/>
      <c r="D366" s="6"/>
    </row>
    <row r="367">
      <c r="A367" s="19"/>
      <c r="B367" s="19"/>
      <c r="C367" s="6"/>
      <c r="D367" s="6"/>
    </row>
    <row r="368">
      <c r="A368" s="19"/>
      <c r="B368" s="19"/>
      <c r="C368" s="6"/>
      <c r="D368" s="6"/>
    </row>
    <row r="369">
      <c r="A369" s="19"/>
      <c r="B369" s="19"/>
      <c r="C369" s="6"/>
      <c r="D369" s="6"/>
    </row>
    <row r="370">
      <c r="A370" s="19"/>
      <c r="B370" s="19"/>
      <c r="C370" s="6"/>
      <c r="D370" s="6"/>
    </row>
    <row r="371">
      <c r="A371" s="19"/>
      <c r="B371" s="19"/>
      <c r="C371" s="6"/>
      <c r="D371" s="6"/>
    </row>
    <row r="372">
      <c r="A372" s="19"/>
      <c r="B372" s="19"/>
      <c r="C372" s="6"/>
      <c r="D372" s="6"/>
    </row>
    <row r="373">
      <c r="A373" s="19"/>
      <c r="B373" s="19"/>
      <c r="C373" s="6"/>
      <c r="D373" s="6"/>
    </row>
    <row r="374">
      <c r="A374" s="19"/>
      <c r="B374" s="19"/>
      <c r="C374" s="6"/>
      <c r="D374" s="6"/>
    </row>
    <row r="375">
      <c r="A375" s="19"/>
      <c r="B375" s="19"/>
      <c r="C375" s="6"/>
      <c r="D375" s="6"/>
    </row>
    <row r="376">
      <c r="A376" s="19"/>
      <c r="B376" s="19"/>
      <c r="C376" s="6"/>
      <c r="D376" s="6"/>
    </row>
    <row r="377">
      <c r="A377" s="19"/>
      <c r="B377" s="19"/>
      <c r="C377" s="6"/>
      <c r="D377" s="6"/>
    </row>
    <row r="378">
      <c r="A378" s="19"/>
      <c r="B378" s="19"/>
      <c r="C378" s="4"/>
      <c r="D378" s="6"/>
    </row>
    <row r="379">
      <c r="A379" s="19"/>
      <c r="B379" s="19"/>
      <c r="C379" s="6"/>
      <c r="D379" s="6"/>
    </row>
    <row r="380">
      <c r="A380" s="19"/>
      <c r="B380" s="19"/>
      <c r="C380" s="6"/>
      <c r="D380" s="6"/>
    </row>
    <row r="381">
      <c r="A381" s="19"/>
      <c r="B381" s="19"/>
      <c r="C381" s="6"/>
      <c r="D381" s="4"/>
    </row>
    <row r="382">
      <c r="A382" s="19"/>
      <c r="B382" s="19"/>
      <c r="C382" s="6"/>
      <c r="D382" s="6"/>
    </row>
    <row r="383">
      <c r="A383" s="19"/>
      <c r="B383" s="19"/>
      <c r="C383" s="6"/>
      <c r="D383" s="6"/>
    </row>
    <row r="384">
      <c r="A384" s="19"/>
      <c r="B384" s="19"/>
      <c r="C384" s="6"/>
      <c r="D384" s="6"/>
    </row>
    <row r="385">
      <c r="A385" s="19"/>
      <c r="B385" s="19"/>
      <c r="C385" s="6"/>
      <c r="D385" s="6"/>
    </row>
    <row r="386">
      <c r="A386" s="19"/>
      <c r="B386" s="19"/>
      <c r="C386" s="6"/>
      <c r="D386" s="6"/>
    </row>
    <row r="387">
      <c r="A387" s="19"/>
      <c r="B387" s="19"/>
      <c r="C387" s="6"/>
      <c r="D387" s="6"/>
    </row>
    <row r="388">
      <c r="A388" s="19"/>
      <c r="B388" s="19"/>
      <c r="C388" s="6"/>
      <c r="D388" s="6"/>
    </row>
    <row r="389">
      <c r="A389" s="19"/>
      <c r="B389" s="19"/>
      <c r="C389" s="6"/>
      <c r="D389" s="6"/>
    </row>
    <row r="390">
      <c r="A390" s="19"/>
      <c r="B390" s="19"/>
      <c r="C390" s="6"/>
      <c r="D390" s="6"/>
    </row>
    <row r="391">
      <c r="A391" s="19"/>
      <c r="B391" s="19"/>
      <c r="C391" s="6"/>
      <c r="D391" s="6"/>
    </row>
    <row r="392">
      <c r="A392" s="19"/>
      <c r="B392" s="19"/>
      <c r="C392" s="6"/>
      <c r="D392" s="6"/>
    </row>
    <row r="393">
      <c r="A393" s="19"/>
      <c r="B393" s="19"/>
      <c r="C393" s="6"/>
      <c r="D393" s="6"/>
    </row>
    <row r="394">
      <c r="A394" s="19"/>
      <c r="B394" s="19"/>
      <c r="C394" s="6"/>
      <c r="D394" s="6"/>
    </row>
    <row r="395">
      <c r="A395" s="19"/>
      <c r="B395" s="19"/>
      <c r="C395" s="6"/>
      <c r="D395" s="6"/>
    </row>
    <row r="396">
      <c r="A396" s="19"/>
      <c r="B396" s="19"/>
      <c r="C396" s="6"/>
      <c r="D396" s="6"/>
    </row>
    <row r="397">
      <c r="A397" s="19"/>
      <c r="B397" s="19"/>
      <c r="C397" s="6"/>
      <c r="D397" s="6"/>
    </row>
    <row r="398">
      <c r="A398" s="19"/>
      <c r="B398" s="19"/>
      <c r="C398" s="4"/>
      <c r="D398" s="6"/>
    </row>
    <row r="399">
      <c r="A399" s="19"/>
      <c r="B399" s="19"/>
      <c r="C399" s="6"/>
      <c r="D399" s="6"/>
    </row>
    <row r="400">
      <c r="A400" s="19"/>
      <c r="B400" s="19"/>
      <c r="C400" s="6"/>
      <c r="D400" s="6"/>
    </row>
    <row r="401">
      <c r="A401" s="19"/>
      <c r="B401" s="19"/>
      <c r="C401" s="6"/>
      <c r="D401" s="4"/>
    </row>
    <row r="402">
      <c r="A402" s="19"/>
      <c r="B402" s="19"/>
      <c r="C402" s="6"/>
      <c r="D402" s="6"/>
    </row>
    <row r="403">
      <c r="A403" s="19"/>
      <c r="B403" s="19"/>
      <c r="C403" s="6"/>
      <c r="D403" s="6"/>
    </row>
    <row r="404">
      <c r="A404" s="19"/>
      <c r="B404" s="19"/>
      <c r="C404" s="6"/>
      <c r="D404" s="6"/>
    </row>
    <row r="405">
      <c r="A405" s="19"/>
      <c r="B405" s="19"/>
      <c r="C405" s="6"/>
      <c r="D405" s="6"/>
    </row>
    <row r="406">
      <c r="A406" s="19"/>
      <c r="B406" s="19"/>
      <c r="C406" s="6"/>
      <c r="D406" s="6"/>
    </row>
    <row r="407">
      <c r="A407" s="19"/>
      <c r="B407" s="19"/>
      <c r="C407" s="6"/>
      <c r="D407" s="6"/>
    </row>
    <row r="408">
      <c r="A408" s="19"/>
      <c r="B408" s="19"/>
      <c r="C408" s="6"/>
      <c r="D408" s="6"/>
    </row>
    <row r="409">
      <c r="A409" s="19"/>
      <c r="B409" s="19"/>
      <c r="C409" s="6"/>
      <c r="D409" s="6"/>
    </row>
    <row r="410">
      <c r="A410" s="19"/>
      <c r="B410" s="19"/>
      <c r="C410" s="6"/>
      <c r="D410" s="6"/>
    </row>
    <row r="411">
      <c r="A411" s="19"/>
      <c r="B411" s="19"/>
      <c r="C411" s="6"/>
      <c r="D411" s="6"/>
    </row>
    <row r="412">
      <c r="A412" s="19"/>
      <c r="B412" s="19"/>
      <c r="C412" s="6"/>
      <c r="D412" s="6"/>
    </row>
    <row r="413">
      <c r="A413" s="19"/>
      <c r="B413" s="19"/>
      <c r="C413" s="6"/>
      <c r="D413" s="6"/>
    </row>
    <row r="414">
      <c r="A414" s="19"/>
      <c r="B414" s="19"/>
      <c r="C414" s="6"/>
      <c r="D414" s="6"/>
    </row>
    <row r="415">
      <c r="A415" s="19"/>
      <c r="B415" s="19"/>
      <c r="C415" s="6"/>
      <c r="D415" s="6"/>
    </row>
    <row r="416">
      <c r="A416" s="19"/>
      <c r="B416" s="19"/>
      <c r="C416" s="6"/>
      <c r="D416" s="6"/>
    </row>
    <row r="417">
      <c r="A417" s="19"/>
      <c r="B417" s="19"/>
      <c r="C417" s="6"/>
      <c r="D417" s="6"/>
    </row>
    <row r="418">
      <c r="A418" s="19"/>
      <c r="B418" s="19"/>
      <c r="C418" s="4"/>
      <c r="D418" s="6"/>
    </row>
    <row r="419">
      <c r="A419" s="19"/>
      <c r="B419" s="19"/>
      <c r="C419" s="6"/>
      <c r="D419" s="6"/>
    </row>
    <row r="420">
      <c r="A420" s="19"/>
      <c r="B420" s="19"/>
      <c r="C420" s="6"/>
      <c r="D420" s="6"/>
    </row>
    <row r="421">
      <c r="A421" s="19"/>
      <c r="B421" s="19"/>
      <c r="C421" s="6"/>
      <c r="D421" s="4"/>
    </row>
    <row r="422">
      <c r="A422" s="19"/>
      <c r="B422" s="19"/>
      <c r="C422" s="6"/>
      <c r="D422" s="6"/>
    </row>
    <row r="423">
      <c r="A423" s="19"/>
      <c r="B423" s="19"/>
      <c r="C423" s="6"/>
      <c r="D423" s="6"/>
    </row>
    <row r="424">
      <c r="A424" s="19"/>
      <c r="B424" s="19"/>
      <c r="C424" s="6"/>
      <c r="D424" s="6"/>
    </row>
    <row r="425">
      <c r="A425" s="19"/>
      <c r="B425" s="19"/>
      <c r="C425" s="6"/>
      <c r="D425" s="6"/>
    </row>
    <row r="426">
      <c r="A426" s="19"/>
      <c r="B426" s="19"/>
      <c r="C426" s="6"/>
      <c r="D426" s="6"/>
    </row>
    <row r="427">
      <c r="A427" s="19"/>
      <c r="B427" s="19"/>
      <c r="C427" s="6"/>
      <c r="D427" s="6"/>
    </row>
    <row r="428">
      <c r="A428" s="19"/>
      <c r="B428" s="19"/>
      <c r="C428" s="6"/>
      <c r="D428" s="6"/>
    </row>
    <row r="429">
      <c r="A429" s="19"/>
      <c r="B429" s="19"/>
      <c r="C429" s="6"/>
      <c r="D429" s="6"/>
    </row>
    <row r="430">
      <c r="A430" s="19"/>
      <c r="B430" s="19"/>
      <c r="C430" s="6"/>
      <c r="D430" s="6"/>
    </row>
    <row r="431">
      <c r="A431" s="19"/>
      <c r="B431" s="19"/>
      <c r="C431" s="6"/>
      <c r="D431" s="6"/>
    </row>
    <row r="432">
      <c r="A432" s="19"/>
      <c r="B432" s="19"/>
      <c r="C432" s="6"/>
      <c r="D432" s="6"/>
    </row>
    <row r="433">
      <c r="A433" s="19"/>
      <c r="B433" s="19"/>
      <c r="C433" s="6"/>
      <c r="D433" s="6"/>
    </row>
    <row r="434">
      <c r="A434" s="19"/>
      <c r="B434" s="19"/>
      <c r="C434" s="6"/>
      <c r="D434" s="6"/>
    </row>
    <row r="435">
      <c r="A435" s="19"/>
      <c r="B435" s="19"/>
      <c r="C435" s="6"/>
      <c r="D435" s="6"/>
    </row>
    <row r="436">
      <c r="A436" s="19"/>
      <c r="B436" s="19"/>
      <c r="C436" s="6"/>
      <c r="D436" s="6"/>
    </row>
    <row r="437">
      <c r="A437" s="19"/>
      <c r="B437" s="19"/>
      <c r="C437" s="6"/>
      <c r="D437" s="6"/>
    </row>
    <row r="438">
      <c r="A438" s="19"/>
      <c r="B438" s="19"/>
      <c r="C438" s="4"/>
      <c r="D438" s="6"/>
    </row>
    <row r="439">
      <c r="A439" s="19"/>
      <c r="B439" s="19"/>
      <c r="C439" s="6"/>
      <c r="D439" s="6"/>
    </row>
    <row r="440">
      <c r="A440" s="19"/>
      <c r="B440" s="19"/>
      <c r="C440" s="6"/>
      <c r="D440" s="6"/>
    </row>
    <row r="441">
      <c r="A441" s="19"/>
      <c r="B441" s="19"/>
      <c r="C441" s="6"/>
      <c r="D441" s="4"/>
    </row>
    <row r="442">
      <c r="A442" s="19"/>
      <c r="B442" s="19"/>
      <c r="C442" s="6"/>
      <c r="D442" s="6"/>
    </row>
    <row r="443">
      <c r="A443" s="19"/>
      <c r="B443" s="19"/>
      <c r="C443" s="6"/>
      <c r="D443" s="6"/>
    </row>
    <row r="444">
      <c r="A444" s="19"/>
      <c r="B444" s="19"/>
      <c r="C444" s="6"/>
      <c r="D444" s="6"/>
    </row>
    <row r="445">
      <c r="A445" s="19"/>
      <c r="B445" s="19"/>
      <c r="C445" s="6"/>
      <c r="D445" s="6"/>
    </row>
    <row r="446">
      <c r="A446" s="19"/>
      <c r="B446" s="19"/>
      <c r="C446" s="6"/>
      <c r="D446" s="6"/>
    </row>
    <row r="447">
      <c r="A447" s="19"/>
      <c r="B447" s="19"/>
      <c r="C447" s="6"/>
      <c r="D447" s="6"/>
    </row>
    <row r="448">
      <c r="A448" s="19"/>
      <c r="B448" s="19"/>
      <c r="C448" s="6"/>
      <c r="D448" s="6"/>
    </row>
    <row r="449">
      <c r="A449" s="19"/>
      <c r="B449" s="19"/>
      <c r="C449" s="6"/>
      <c r="D449" s="6"/>
    </row>
    <row r="450">
      <c r="A450" s="19"/>
      <c r="B450" s="19"/>
      <c r="C450" s="6"/>
      <c r="D450" s="6"/>
    </row>
    <row r="451">
      <c r="A451" s="19"/>
      <c r="B451" s="19"/>
      <c r="C451" s="6"/>
      <c r="D451" s="6"/>
    </row>
    <row r="452">
      <c r="A452" s="19"/>
      <c r="B452" s="19"/>
      <c r="C452" s="6"/>
      <c r="D452" s="6"/>
    </row>
    <row r="453">
      <c r="A453" s="19"/>
      <c r="B453" s="19"/>
      <c r="C453" s="6"/>
      <c r="D453" s="6"/>
    </row>
    <row r="454">
      <c r="A454" s="19"/>
      <c r="B454" s="19"/>
      <c r="C454" s="6"/>
      <c r="D454" s="6"/>
    </row>
    <row r="455">
      <c r="A455" s="19"/>
      <c r="B455" s="19"/>
      <c r="C455" s="6"/>
      <c r="D455" s="6"/>
    </row>
    <row r="456">
      <c r="A456" s="19"/>
      <c r="B456" s="19"/>
      <c r="C456" s="6"/>
      <c r="D456" s="6"/>
    </row>
    <row r="457">
      <c r="A457" s="19"/>
      <c r="B457" s="19"/>
      <c r="C457" s="6"/>
      <c r="D457" s="6"/>
    </row>
    <row r="458">
      <c r="A458" s="19"/>
      <c r="B458" s="19"/>
      <c r="C458" s="4"/>
      <c r="D458" s="6"/>
    </row>
    <row r="459">
      <c r="A459" s="19"/>
      <c r="B459" s="19"/>
      <c r="C459" s="6"/>
      <c r="D459" s="6"/>
    </row>
    <row r="460">
      <c r="A460" s="19"/>
      <c r="B460" s="19"/>
      <c r="C460" s="6"/>
      <c r="D460" s="6"/>
    </row>
    <row r="461">
      <c r="A461" s="19"/>
      <c r="B461" s="19"/>
      <c r="C461" s="6"/>
      <c r="D461" s="4"/>
    </row>
    <row r="462">
      <c r="A462" s="19"/>
      <c r="B462" s="19"/>
      <c r="C462" s="6"/>
      <c r="D462" s="6"/>
    </row>
    <row r="463">
      <c r="A463" s="19"/>
      <c r="B463" s="19"/>
      <c r="C463" s="6"/>
      <c r="D463" s="6"/>
    </row>
    <row r="464">
      <c r="A464" s="19"/>
      <c r="B464" s="19"/>
      <c r="C464" s="6"/>
      <c r="D464" s="6"/>
    </row>
    <row r="465">
      <c r="A465" s="19"/>
      <c r="B465" s="19"/>
      <c r="C465" s="6"/>
      <c r="D465" s="6"/>
    </row>
    <row r="466">
      <c r="A466" s="19"/>
      <c r="B466" s="19"/>
      <c r="C466" s="6"/>
      <c r="D466" s="6"/>
    </row>
    <row r="467">
      <c r="A467" s="19"/>
      <c r="B467" s="19"/>
      <c r="C467" s="6"/>
      <c r="D467" s="6"/>
    </row>
    <row r="468">
      <c r="A468" s="19"/>
      <c r="B468" s="19"/>
      <c r="C468" s="6"/>
      <c r="D468" s="6"/>
    </row>
    <row r="469">
      <c r="A469" s="19"/>
      <c r="B469" s="19"/>
      <c r="C469" s="6"/>
      <c r="D469" s="6"/>
    </row>
    <row r="470">
      <c r="A470" s="19"/>
      <c r="B470" s="19"/>
      <c r="C470" s="6"/>
      <c r="D470" s="6"/>
    </row>
    <row r="471">
      <c r="A471" s="19"/>
      <c r="B471" s="19"/>
      <c r="C471" s="6"/>
      <c r="D471" s="6"/>
    </row>
    <row r="472">
      <c r="A472" s="19"/>
      <c r="B472" s="19"/>
      <c r="C472" s="6"/>
      <c r="D472" s="6"/>
    </row>
    <row r="473">
      <c r="A473" s="19"/>
      <c r="B473" s="19"/>
      <c r="C473" s="6"/>
      <c r="D473" s="6"/>
    </row>
    <row r="474">
      <c r="A474" s="19"/>
      <c r="B474" s="19"/>
      <c r="C474" s="6"/>
      <c r="D474" s="6"/>
    </row>
    <row r="475">
      <c r="A475" s="19"/>
      <c r="B475" s="19"/>
      <c r="C475" s="6"/>
      <c r="D475" s="6"/>
    </row>
    <row r="476">
      <c r="A476" s="19"/>
      <c r="B476" s="19"/>
      <c r="C476" s="6"/>
      <c r="D476" s="6"/>
    </row>
    <row r="477">
      <c r="A477" s="19"/>
      <c r="B477" s="19"/>
      <c r="C477" s="6"/>
      <c r="D477" s="6"/>
    </row>
    <row r="478">
      <c r="A478" s="19"/>
      <c r="B478" s="19"/>
      <c r="C478" s="4"/>
      <c r="D478" s="6"/>
    </row>
    <row r="479">
      <c r="A479" s="19"/>
      <c r="B479" s="19"/>
      <c r="C479" s="6"/>
      <c r="D479" s="6"/>
    </row>
    <row r="480">
      <c r="A480" s="19"/>
      <c r="B480" s="19"/>
      <c r="C480" s="6"/>
      <c r="D480" s="6"/>
    </row>
    <row r="481">
      <c r="A481" s="19"/>
      <c r="B481" s="19"/>
      <c r="C481" s="6"/>
      <c r="D481" s="4"/>
    </row>
    <row r="482">
      <c r="A482" s="19"/>
      <c r="B482" s="19"/>
      <c r="C482" s="6"/>
      <c r="D482" s="6"/>
    </row>
    <row r="483">
      <c r="A483" s="19"/>
      <c r="B483" s="19"/>
      <c r="C483" s="6"/>
      <c r="D483" s="6"/>
    </row>
    <row r="484">
      <c r="A484" s="19"/>
      <c r="B484" s="19"/>
      <c r="C484" s="6"/>
      <c r="D484" s="6"/>
    </row>
    <row r="485">
      <c r="A485" s="19"/>
      <c r="B485" s="19"/>
      <c r="C485" s="6"/>
      <c r="D485" s="6"/>
    </row>
    <row r="486">
      <c r="A486" s="19"/>
      <c r="B486" s="19"/>
      <c r="C486" s="6"/>
      <c r="D486" s="6"/>
    </row>
    <row r="487">
      <c r="A487" s="19"/>
      <c r="B487" s="19"/>
      <c r="C487" s="6"/>
      <c r="D487" s="6"/>
    </row>
    <row r="488">
      <c r="A488" s="19"/>
      <c r="B488" s="19"/>
      <c r="C488" s="6"/>
      <c r="D488" s="6"/>
    </row>
    <row r="489">
      <c r="A489" s="19"/>
      <c r="B489" s="19"/>
      <c r="C489" s="6"/>
      <c r="D489" s="6"/>
    </row>
    <row r="490">
      <c r="A490" s="19"/>
      <c r="B490" s="19"/>
      <c r="C490" s="6"/>
      <c r="D490" s="6"/>
    </row>
    <row r="491">
      <c r="A491" s="19"/>
      <c r="B491" s="19"/>
      <c r="C491" s="6"/>
      <c r="D491" s="6"/>
    </row>
    <row r="492">
      <c r="A492" s="19"/>
      <c r="B492" s="19"/>
      <c r="C492" s="6"/>
      <c r="D492" s="6"/>
    </row>
    <row r="493">
      <c r="A493" s="19"/>
      <c r="B493" s="19"/>
      <c r="C493" s="6"/>
      <c r="D493" s="6"/>
    </row>
    <row r="494">
      <c r="A494" s="19"/>
      <c r="B494" s="19"/>
      <c r="C494" s="6"/>
      <c r="D494" s="6"/>
    </row>
    <row r="495">
      <c r="A495" s="19"/>
      <c r="B495" s="19"/>
      <c r="C495" s="6"/>
      <c r="D495" s="6"/>
    </row>
    <row r="496">
      <c r="A496" s="19"/>
      <c r="B496" s="19"/>
      <c r="C496" s="6"/>
      <c r="D496" s="6"/>
    </row>
    <row r="497">
      <c r="A497" s="19"/>
      <c r="B497" s="19"/>
      <c r="C497" s="6"/>
      <c r="D497" s="6"/>
    </row>
    <row r="498">
      <c r="A498" s="19"/>
      <c r="B498" s="19"/>
      <c r="C498" s="4"/>
      <c r="D498" s="6"/>
    </row>
    <row r="499">
      <c r="A499" s="19"/>
      <c r="B499" s="19"/>
      <c r="C499" s="6"/>
      <c r="D499" s="6"/>
    </row>
    <row r="500">
      <c r="A500" s="19"/>
      <c r="B500" s="19"/>
      <c r="C500" s="6"/>
      <c r="D500" s="6"/>
    </row>
    <row r="501">
      <c r="A501" s="19"/>
      <c r="B501" s="19"/>
      <c r="C501" s="6"/>
      <c r="D501" s="4"/>
    </row>
    <row r="502">
      <c r="A502" s="19"/>
      <c r="B502" s="19"/>
      <c r="C502" s="6"/>
      <c r="D502" s="6"/>
    </row>
    <row r="503">
      <c r="A503" s="19"/>
      <c r="B503" s="19"/>
      <c r="C503" s="6"/>
      <c r="D503" s="6"/>
    </row>
    <row r="504">
      <c r="A504" s="19"/>
      <c r="B504" s="19"/>
      <c r="C504" s="6"/>
      <c r="D504" s="6"/>
    </row>
    <row r="505">
      <c r="A505" s="19"/>
      <c r="B505" s="19"/>
      <c r="C505" s="6"/>
      <c r="D505" s="6"/>
    </row>
    <row r="506">
      <c r="A506" s="19"/>
      <c r="B506" s="19"/>
      <c r="C506" s="6"/>
      <c r="D506" s="6"/>
    </row>
    <row r="507">
      <c r="A507" s="19"/>
      <c r="B507" s="19"/>
      <c r="C507" s="6"/>
      <c r="D507" s="6"/>
    </row>
    <row r="508">
      <c r="A508" s="19"/>
      <c r="B508" s="19"/>
      <c r="C508" s="6"/>
      <c r="D508" s="6"/>
    </row>
    <row r="509">
      <c r="A509" s="19"/>
      <c r="B509" s="19"/>
      <c r="C509" s="6"/>
      <c r="D509" s="6"/>
    </row>
    <row r="510">
      <c r="A510" s="19"/>
      <c r="B510" s="19"/>
      <c r="C510" s="6"/>
      <c r="D510" s="6"/>
    </row>
    <row r="511">
      <c r="A511" s="19"/>
      <c r="B511" s="19"/>
      <c r="C511" s="6"/>
      <c r="D511" s="6"/>
    </row>
    <row r="512">
      <c r="A512" s="19"/>
      <c r="B512" s="19"/>
      <c r="C512" s="6"/>
      <c r="D512" s="6"/>
    </row>
    <row r="513">
      <c r="A513" s="19"/>
      <c r="B513" s="19"/>
      <c r="C513" s="6"/>
      <c r="D513" s="6"/>
    </row>
    <row r="514">
      <c r="A514" s="19"/>
      <c r="B514" s="19"/>
      <c r="C514" s="6"/>
      <c r="D514" s="6"/>
    </row>
    <row r="515">
      <c r="A515" s="19"/>
      <c r="B515" s="19"/>
      <c r="C515" s="6"/>
      <c r="D515" s="6"/>
    </row>
    <row r="516">
      <c r="A516" s="19"/>
      <c r="B516" s="19"/>
      <c r="C516" s="6"/>
      <c r="D516" s="6"/>
    </row>
    <row r="517">
      <c r="A517" s="19"/>
      <c r="B517" s="19"/>
      <c r="C517" s="6"/>
      <c r="D517" s="6"/>
    </row>
    <row r="518">
      <c r="A518" s="19"/>
      <c r="B518" s="19"/>
      <c r="C518" s="4"/>
      <c r="D518" s="6"/>
    </row>
    <row r="519">
      <c r="A519" s="19"/>
      <c r="B519" s="19"/>
      <c r="C519" s="6"/>
      <c r="D519" s="6"/>
    </row>
    <row r="520">
      <c r="A520" s="19"/>
      <c r="B520" s="19"/>
      <c r="C520" s="6"/>
      <c r="D520" s="6"/>
    </row>
    <row r="521">
      <c r="A521" s="19"/>
      <c r="B521" s="19"/>
      <c r="C521" s="6"/>
      <c r="D521" s="4"/>
    </row>
    <row r="522">
      <c r="A522" s="19"/>
      <c r="B522" s="19"/>
      <c r="C522" s="6"/>
      <c r="D522" s="6"/>
    </row>
    <row r="523">
      <c r="A523" s="19"/>
      <c r="B523" s="19"/>
      <c r="C523" s="6"/>
      <c r="D523" s="6"/>
    </row>
    <row r="524">
      <c r="A524" s="19"/>
      <c r="B524" s="19"/>
      <c r="C524" s="6"/>
      <c r="D524" s="6"/>
    </row>
    <row r="525">
      <c r="A525" s="19"/>
      <c r="B525" s="19"/>
      <c r="C525" s="6"/>
      <c r="D525" s="6"/>
    </row>
    <row r="526">
      <c r="A526" s="19"/>
      <c r="B526" s="19"/>
      <c r="C526" s="6"/>
      <c r="D526" s="6"/>
    </row>
    <row r="527">
      <c r="A527" s="19"/>
      <c r="B527" s="19"/>
      <c r="C527" s="6"/>
      <c r="D527" s="6"/>
    </row>
    <row r="528">
      <c r="A528" s="19"/>
      <c r="B528" s="19"/>
      <c r="C528" s="6"/>
      <c r="D528" s="6"/>
    </row>
    <row r="529">
      <c r="A529" s="19"/>
      <c r="B529" s="19"/>
      <c r="C529" s="6"/>
      <c r="D529" s="6"/>
    </row>
    <row r="530">
      <c r="A530" s="19"/>
      <c r="B530" s="19"/>
      <c r="C530" s="6"/>
      <c r="D530" s="6"/>
    </row>
    <row r="531">
      <c r="A531" s="19"/>
      <c r="B531" s="19"/>
      <c r="C531" s="6"/>
      <c r="D531" s="6"/>
    </row>
    <row r="532">
      <c r="A532" s="19"/>
      <c r="B532" s="19"/>
      <c r="C532" s="6"/>
      <c r="D532" s="6"/>
    </row>
    <row r="533">
      <c r="A533" s="19"/>
      <c r="B533" s="19"/>
      <c r="C533" s="6"/>
      <c r="D533" s="6"/>
    </row>
    <row r="534">
      <c r="A534" s="19"/>
      <c r="B534" s="19"/>
      <c r="C534" s="6"/>
      <c r="D534" s="6"/>
    </row>
    <row r="535">
      <c r="A535" s="19"/>
      <c r="B535" s="19"/>
      <c r="C535" s="6"/>
      <c r="D535" s="6"/>
    </row>
    <row r="536">
      <c r="A536" s="19"/>
      <c r="B536" s="19"/>
      <c r="C536" s="6"/>
      <c r="D536" s="6"/>
    </row>
    <row r="537">
      <c r="A537" s="19"/>
      <c r="B537" s="19"/>
      <c r="C537" s="6"/>
      <c r="D537" s="6"/>
    </row>
    <row r="538">
      <c r="A538" s="19"/>
      <c r="B538" s="19"/>
      <c r="C538" s="4"/>
      <c r="D538" s="6"/>
    </row>
    <row r="539">
      <c r="A539" s="19"/>
      <c r="B539" s="19"/>
      <c r="C539" s="6"/>
      <c r="D539" s="6"/>
    </row>
    <row r="540">
      <c r="A540" s="19"/>
      <c r="B540" s="19"/>
      <c r="C540" s="6"/>
      <c r="D540" s="6"/>
    </row>
    <row r="541">
      <c r="A541" s="19"/>
      <c r="B541" s="19"/>
      <c r="C541" s="6"/>
      <c r="D541" s="4"/>
    </row>
    <row r="542">
      <c r="A542" s="19"/>
      <c r="B542" s="19"/>
      <c r="C542" s="6"/>
      <c r="D542" s="6"/>
    </row>
    <row r="543">
      <c r="A543" s="19"/>
      <c r="B543" s="19"/>
      <c r="C543" s="6"/>
      <c r="D543" s="6"/>
    </row>
    <row r="544">
      <c r="A544" s="19"/>
      <c r="B544" s="19"/>
      <c r="C544" s="6"/>
      <c r="D544" s="6"/>
    </row>
    <row r="545">
      <c r="A545" s="19"/>
      <c r="B545" s="19"/>
      <c r="C545" s="6"/>
      <c r="D545" s="6"/>
    </row>
    <row r="546">
      <c r="A546" s="19"/>
      <c r="B546" s="19"/>
      <c r="C546" s="6"/>
      <c r="D546" s="6"/>
    </row>
    <row r="547">
      <c r="A547" s="19"/>
      <c r="B547" s="19"/>
      <c r="C547" s="6"/>
      <c r="D547" s="6"/>
    </row>
    <row r="548">
      <c r="A548" s="19"/>
      <c r="B548" s="19"/>
      <c r="C548" s="6"/>
      <c r="D548" s="6"/>
    </row>
    <row r="549">
      <c r="A549" s="19"/>
      <c r="B549" s="19"/>
      <c r="C549" s="6"/>
      <c r="D549" s="6"/>
    </row>
    <row r="550">
      <c r="A550" s="19"/>
      <c r="B550" s="19"/>
      <c r="C550" s="6"/>
      <c r="D550" s="6"/>
    </row>
    <row r="551">
      <c r="A551" s="19"/>
      <c r="B551" s="19"/>
      <c r="C551" s="6"/>
      <c r="D551" s="6"/>
    </row>
    <row r="552">
      <c r="A552" s="19"/>
      <c r="B552" s="19"/>
      <c r="C552" s="6"/>
      <c r="D552" s="6"/>
    </row>
    <row r="553">
      <c r="A553" s="19"/>
      <c r="B553" s="19"/>
      <c r="C553" s="6"/>
      <c r="D553" s="6"/>
    </row>
    <row r="554">
      <c r="A554" s="19"/>
      <c r="B554" s="19"/>
      <c r="C554" s="6"/>
      <c r="D554" s="6"/>
    </row>
    <row r="555">
      <c r="A555" s="19"/>
      <c r="B555" s="19"/>
      <c r="C555" s="6"/>
      <c r="D555" s="6"/>
    </row>
    <row r="556">
      <c r="A556" s="19"/>
      <c r="B556" s="19"/>
      <c r="C556" s="6"/>
      <c r="D556" s="6"/>
    </row>
    <row r="557">
      <c r="A557" s="19"/>
      <c r="B557" s="19"/>
      <c r="C557" s="6"/>
      <c r="D557" s="6"/>
    </row>
    <row r="558">
      <c r="A558" s="19"/>
      <c r="B558" s="19"/>
      <c r="C558" s="4"/>
      <c r="D558" s="6"/>
    </row>
    <row r="559">
      <c r="A559" s="19"/>
      <c r="B559" s="19"/>
      <c r="C559" s="6"/>
      <c r="D559" s="6"/>
    </row>
    <row r="560">
      <c r="A560" s="19"/>
      <c r="B560" s="19"/>
      <c r="C560" s="6"/>
      <c r="D560" s="6"/>
    </row>
    <row r="561">
      <c r="A561" s="19"/>
      <c r="B561" s="19"/>
      <c r="C561" s="6"/>
      <c r="D561" s="4"/>
    </row>
    <row r="562">
      <c r="A562" s="19"/>
      <c r="B562" s="19"/>
      <c r="C562" s="6"/>
      <c r="D562" s="6"/>
    </row>
    <row r="563">
      <c r="A563" s="19"/>
      <c r="B563" s="19"/>
      <c r="C563" s="6"/>
      <c r="D563" s="6"/>
    </row>
    <row r="564">
      <c r="A564" s="19"/>
      <c r="B564" s="19"/>
      <c r="C564" s="6"/>
      <c r="D564" s="6"/>
    </row>
    <row r="565">
      <c r="A565" s="19"/>
      <c r="B565" s="19"/>
      <c r="C565" s="6"/>
      <c r="D565" s="6"/>
    </row>
    <row r="566">
      <c r="A566" s="19"/>
      <c r="B566" s="19"/>
      <c r="C566" s="6"/>
      <c r="D566" s="6"/>
    </row>
    <row r="567">
      <c r="A567" s="19"/>
      <c r="B567" s="19"/>
      <c r="C567" s="6"/>
      <c r="D567" s="6"/>
    </row>
    <row r="568">
      <c r="A568" s="19"/>
      <c r="B568" s="19"/>
      <c r="C568" s="6"/>
      <c r="D568" s="6"/>
    </row>
    <row r="569">
      <c r="A569" s="19"/>
      <c r="B569" s="19"/>
      <c r="C569" s="6"/>
      <c r="D569" s="6"/>
    </row>
    <row r="570">
      <c r="A570" s="19"/>
      <c r="B570" s="19"/>
      <c r="C570" s="6"/>
      <c r="D570" s="6"/>
    </row>
    <row r="571">
      <c r="A571" s="19"/>
      <c r="B571" s="19"/>
      <c r="C571" s="6"/>
      <c r="D571" s="6"/>
    </row>
    <row r="572">
      <c r="A572" s="19"/>
      <c r="B572" s="19"/>
      <c r="C572" s="6"/>
      <c r="D572" s="6"/>
    </row>
    <row r="573">
      <c r="A573" s="19"/>
      <c r="B573" s="19"/>
      <c r="C573" s="6"/>
      <c r="D573" s="6"/>
    </row>
    <row r="574">
      <c r="A574" s="19"/>
      <c r="B574" s="19"/>
      <c r="C574" s="6"/>
      <c r="D574" s="6"/>
    </row>
    <row r="575">
      <c r="A575" s="19"/>
      <c r="B575" s="19"/>
      <c r="C575" s="6"/>
      <c r="D575" s="6"/>
    </row>
    <row r="576">
      <c r="A576" s="19"/>
      <c r="B576" s="19"/>
      <c r="C576" s="6"/>
      <c r="D576" s="6"/>
    </row>
    <row r="577">
      <c r="A577" s="19"/>
      <c r="B577" s="19"/>
      <c r="C577" s="6"/>
      <c r="D577" s="6"/>
    </row>
    <row r="578">
      <c r="A578" s="19"/>
      <c r="B578" s="19"/>
      <c r="C578" s="4"/>
      <c r="D578" s="6"/>
    </row>
    <row r="579">
      <c r="A579" s="19"/>
      <c r="B579" s="19"/>
      <c r="C579" s="6"/>
      <c r="D579" s="6"/>
    </row>
    <row r="580">
      <c r="A580" s="19"/>
      <c r="B580" s="19"/>
      <c r="C580" s="6"/>
      <c r="D580" s="6"/>
    </row>
    <row r="581">
      <c r="A581" s="19"/>
      <c r="B581" s="19"/>
      <c r="C581" s="6"/>
      <c r="D581" s="4"/>
    </row>
    <row r="582">
      <c r="A582" s="19"/>
      <c r="B582" s="19"/>
      <c r="C582" s="6"/>
      <c r="D582" s="6"/>
    </row>
    <row r="583">
      <c r="A583" s="19"/>
      <c r="B583" s="19"/>
      <c r="C583" s="6"/>
      <c r="D583" s="6"/>
    </row>
    <row r="584">
      <c r="A584" s="19"/>
      <c r="B584" s="19"/>
      <c r="C584" s="6"/>
      <c r="D584" s="6"/>
    </row>
    <row r="585">
      <c r="A585" s="19"/>
      <c r="B585" s="19"/>
      <c r="C585" s="6"/>
      <c r="D585" s="6"/>
    </row>
    <row r="586">
      <c r="A586" s="19"/>
      <c r="B586" s="19"/>
      <c r="C586" s="6"/>
      <c r="D586" s="6"/>
    </row>
    <row r="587">
      <c r="A587" s="19"/>
      <c r="B587" s="19"/>
      <c r="C587" s="6"/>
      <c r="D587" s="6"/>
    </row>
    <row r="588">
      <c r="A588" s="19"/>
      <c r="B588" s="19"/>
      <c r="C588" s="6"/>
      <c r="D588" s="6"/>
    </row>
    <row r="589">
      <c r="A589" s="19"/>
      <c r="B589" s="19"/>
      <c r="C589" s="6"/>
      <c r="D589" s="6"/>
    </row>
    <row r="590">
      <c r="A590" s="19"/>
      <c r="B590" s="19"/>
      <c r="C590" s="6"/>
      <c r="D590" s="6"/>
    </row>
    <row r="591">
      <c r="A591" s="19"/>
      <c r="B591" s="19"/>
      <c r="C591" s="6"/>
      <c r="D591" s="6"/>
    </row>
    <row r="592">
      <c r="A592" s="19"/>
      <c r="B592" s="19"/>
      <c r="C592" s="6"/>
      <c r="D592" s="6"/>
    </row>
    <row r="593">
      <c r="A593" s="19"/>
      <c r="B593" s="19"/>
      <c r="C593" s="6"/>
      <c r="D593" s="6"/>
    </row>
    <row r="594">
      <c r="A594" s="19"/>
      <c r="B594" s="19"/>
      <c r="C594" s="6"/>
      <c r="D594" s="6"/>
    </row>
    <row r="595">
      <c r="A595" s="19"/>
      <c r="B595" s="19"/>
      <c r="C595" s="6"/>
      <c r="D595" s="6"/>
    </row>
    <row r="596">
      <c r="A596" s="19"/>
      <c r="B596" s="19"/>
      <c r="C596" s="6"/>
      <c r="D596" s="6"/>
    </row>
    <row r="597">
      <c r="A597" s="19"/>
      <c r="B597" s="19"/>
      <c r="C597" s="6"/>
      <c r="D597" s="6"/>
    </row>
    <row r="598">
      <c r="A598" s="19"/>
      <c r="B598" s="19"/>
      <c r="C598" s="4"/>
      <c r="D598" s="6"/>
    </row>
    <row r="599">
      <c r="A599" s="19"/>
      <c r="B599" s="19"/>
      <c r="C599" s="6"/>
      <c r="D599" s="6"/>
    </row>
    <row r="600">
      <c r="A600" s="19"/>
      <c r="B600" s="19"/>
      <c r="C600" s="6"/>
      <c r="D600" s="6"/>
    </row>
    <row r="601">
      <c r="A601" s="19"/>
      <c r="B601" s="19"/>
      <c r="C601" s="6"/>
      <c r="D601" s="4"/>
    </row>
    <row r="602">
      <c r="A602" s="19"/>
      <c r="B602" s="19"/>
      <c r="C602" s="6"/>
      <c r="D602" s="6"/>
    </row>
    <row r="603">
      <c r="A603" s="19"/>
      <c r="B603" s="19"/>
      <c r="C603" s="6"/>
      <c r="D603" s="6"/>
    </row>
    <row r="604">
      <c r="A604" s="19"/>
      <c r="B604" s="19"/>
      <c r="C604" s="6"/>
      <c r="D604" s="6"/>
    </row>
    <row r="605">
      <c r="A605" s="19"/>
      <c r="B605" s="19"/>
      <c r="C605" s="6"/>
      <c r="D605" s="6"/>
    </row>
    <row r="606">
      <c r="A606" s="19"/>
      <c r="B606" s="19"/>
      <c r="C606" s="6"/>
      <c r="D606" s="6"/>
    </row>
    <row r="607">
      <c r="A607" s="19"/>
      <c r="B607" s="19"/>
      <c r="C607" s="6"/>
      <c r="D607" s="6"/>
    </row>
    <row r="608">
      <c r="A608" s="19"/>
      <c r="B608" s="19"/>
      <c r="C608" s="6"/>
      <c r="D608" s="6"/>
    </row>
    <row r="609">
      <c r="A609" s="19"/>
      <c r="B609" s="19"/>
      <c r="C609" s="6"/>
      <c r="D609" s="6"/>
    </row>
    <row r="610">
      <c r="A610" s="19"/>
      <c r="B610" s="19"/>
      <c r="C610" s="6"/>
      <c r="D610" s="6"/>
    </row>
    <row r="611">
      <c r="A611" s="19"/>
      <c r="B611" s="19"/>
      <c r="C611" s="6"/>
      <c r="D611" s="6"/>
    </row>
    <row r="612">
      <c r="A612" s="19"/>
      <c r="B612" s="19"/>
      <c r="C612" s="6"/>
      <c r="D612" s="6"/>
    </row>
    <row r="613">
      <c r="A613" s="19"/>
      <c r="B613" s="19"/>
      <c r="C613" s="6"/>
      <c r="D613" s="6"/>
    </row>
    <row r="614">
      <c r="A614" s="19"/>
      <c r="B614" s="19"/>
      <c r="C614" s="6"/>
      <c r="D614" s="6"/>
    </row>
    <row r="615">
      <c r="A615" s="19"/>
      <c r="B615" s="19"/>
      <c r="C615" s="6"/>
      <c r="D615" s="6"/>
    </row>
    <row r="616">
      <c r="A616" s="19"/>
      <c r="B616" s="19"/>
      <c r="C616" s="6"/>
      <c r="D616" s="6"/>
    </row>
    <row r="617">
      <c r="A617" s="19"/>
      <c r="B617" s="19"/>
      <c r="C617" s="6"/>
      <c r="D617" s="6"/>
    </row>
    <row r="618">
      <c r="A618" s="19"/>
      <c r="B618" s="19"/>
      <c r="C618" s="4"/>
      <c r="D618" s="6"/>
    </row>
    <row r="619">
      <c r="A619" s="19"/>
      <c r="B619" s="19"/>
      <c r="C619" s="6"/>
      <c r="D619" s="6"/>
    </row>
    <row r="620">
      <c r="A620" s="19"/>
      <c r="B620" s="19"/>
      <c r="C620" s="6"/>
      <c r="D620" s="6"/>
    </row>
    <row r="621">
      <c r="A621" s="19"/>
      <c r="B621" s="19"/>
      <c r="C621" s="6"/>
      <c r="D621" s="4"/>
    </row>
    <row r="622">
      <c r="A622" s="19"/>
      <c r="B622" s="19"/>
      <c r="C622" s="6"/>
      <c r="D622" s="6"/>
    </row>
    <row r="623">
      <c r="A623" s="19"/>
      <c r="B623" s="19"/>
      <c r="C623" s="6"/>
      <c r="D623" s="6"/>
    </row>
    <row r="624">
      <c r="A624" s="19"/>
      <c r="B624" s="19"/>
      <c r="C624" s="6"/>
      <c r="D624" s="6"/>
    </row>
    <row r="625">
      <c r="A625" s="19"/>
      <c r="B625" s="19"/>
      <c r="C625" s="6"/>
      <c r="D625" s="6"/>
    </row>
    <row r="626">
      <c r="A626" s="19"/>
      <c r="B626" s="19"/>
      <c r="C626" s="6"/>
      <c r="D626" s="6"/>
    </row>
    <row r="627">
      <c r="A627" s="19"/>
      <c r="B627" s="19"/>
      <c r="C627" s="6"/>
      <c r="D627" s="6"/>
    </row>
    <row r="628">
      <c r="A628" s="19"/>
      <c r="B628" s="19"/>
      <c r="C628" s="6"/>
      <c r="D628" s="6"/>
    </row>
    <row r="629">
      <c r="A629" s="19"/>
      <c r="B629" s="19"/>
      <c r="C629" s="6"/>
      <c r="D629" s="6"/>
    </row>
    <row r="630">
      <c r="A630" s="19"/>
      <c r="B630" s="19"/>
      <c r="C630" s="6"/>
      <c r="D630" s="6"/>
    </row>
    <row r="631">
      <c r="A631" s="19"/>
      <c r="B631" s="19"/>
      <c r="C631" s="6"/>
      <c r="D631" s="6"/>
    </row>
    <row r="632">
      <c r="A632" s="19"/>
      <c r="B632" s="19"/>
      <c r="C632" s="6"/>
      <c r="D632" s="6"/>
    </row>
    <row r="633">
      <c r="A633" s="19"/>
      <c r="B633" s="19"/>
      <c r="C633" s="6"/>
      <c r="D633" s="6"/>
    </row>
    <row r="634">
      <c r="A634" s="19"/>
      <c r="B634" s="19"/>
      <c r="C634" s="6"/>
      <c r="D634" s="6"/>
    </row>
    <row r="635">
      <c r="A635" s="19"/>
      <c r="B635" s="19"/>
      <c r="C635" s="6"/>
      <c r="D635" s="6"/>
    </row>
    <row r="636">
      <c r="A636" s="19"/>
      <c r="B636" s="19"/>
      <c r="C636" s="6"/>
      <c r="D636" s="6"/>
    </row>
    <row r="637">
      <c r="A637" s="19"/>
      <c r="B637" s="19"/>
      <c r="C637" s="6"/>
      <c r="D637" s="6"/>
    </row>
    <row r="638">
      <c r="A638" s="19"/>
      <c r="B638" s="19"/>
      <c r="C638" s="4"/>
      <c r="D638" s="6"/>
    </row>
    <row r="639">
      <c r="A639" s="19"/>
      <c r="B639" s="19"/>
      <c r="C639" s="6"/>
      <c r="D639" s="6"/>
    </row>
    <row r="640">
      <c r="A640" s="19"/>
      <c r="B640" s="19"/>
      <c r="C640" s="6"/>
      <c r="D640" s="6"/>
    </row>
    <row r="641">
      <c r="A641" s="19"/>
      <c r="B641" s="19"/>
      <c r="C641" s="6"/>
      <c r="D641" s="4"/>
    </row>
    <row r="642">
      <c r="A642" s="19"/>
      <c r="B642" s="19"/>
      <c r="C642" s="6"/>
      <c r="D642" s="6"/>
    </row>
    <row r="643">
      <c r="A643" s="19"/>
      <c r="B643" s="19"/>
      <c r="C643" s="6"/>
      <c r="D643" s="6"/>
    </row>
    <row r="644">
      <c r="A644" s="19"/>
      <c r="B644" s="19"/>
      <c r="C644" s="6"/>
      <c r="D644" s="6"/>
    </row>
    <row r="645">
      <c r="A645" s="19"/>
      <c r="B645" s="19"/>
      <c r="C645" s="6"/>
      <c r="D645" s="6"/>
    </row>
    <row r="646">
      <c r="A646" s="19"/>
      <c r="B646" s="19"/>
      <c r="C646" s="6"/>
      <c r="D646" s="6"/>
    </row>
    <row r="647">
      <c r="A647" s="19"/>
      <c r="B647" s="19"/>
      <c r="C647" s="6"/>
      <c r="D647" s="6"/>
    </row>
    <row r="648">
      <c r="A648" s="19"/>
      <c r="B648" s="19"/>
      <c r="C648" s="6"/>
      <c r="D648" s="6"/>
    </row>
    <row r="649">
      <c r="A649" s="19"/>
      <c r="B649" s="19"/>
      <c r="C649" s="6"/>
      <c r="D649" s="6"/>
    </row>
    <row r="650">
      <c r="A650" s="19"/>
      <c r="B650" s="19"/>
      <c r="C650" s="6"/>
      <c r="D650" s="6"/>
    </row>
    <row r="651">
      <c r="A651" s="19"/>
      <c r="B651" s="19"/>
      <c r="C651" s="6"/>
      <c r="D651" s="6"/>
    </row>
    <row r="652">
      <c r="A652" s="19"/>
      <c r="B652" s="19"/>
      <c r="C652" s="6"/>
      <c r="D652" s="6"/>
    </row>
    <row r="653">
      <c r="A653" s="19"/>
      <c r="B653" s="19"/>
      <c r="C653" s="6"/>
      <c r="D653" s="6"/>
    </row>
    <row r="654">
      <c r="A654" s="19"/>
      <c r="B654" s="19"/>
      <c r="C654" s="6"/>
      <c r="D654" s="6"/>
    </row>
    <row r="655">
      <c r="A655" s="19"/>
      <c r="B655" s="19"/>
      <c r="C655" s="6"/>
      <c r="D655" s="6"/>
    </row>
    <row r="656">
      <c r="A656" s="19"/>
      <c r="B656" s="19"/>
      <c r="C656" s="6"/>
      <c r="D656" s="6"/>
    </row>
    <row r="657">
      <c r="A657" s="19"/>
      <c r="B657" s="19"/>
      <c r="C657" s="6"/>
      <c r="D657" s="6"/>
    </row>
    <row r="658">
      <c r="A658" s="19"/>
      <c r="B658" s="19"/>
      <c r="C658" s="4"/>
      <c r="D658" s="6"/>
    </row>
    <row r="659">
      <c r="A659" s="19"/>
      <c r="B659" s="19"/>
      <c r="C659" s="6"/>
      <c r="D659" s="6"/>
    </row>
    <row r="660">
      <c r="A660" s="19"/>
      <c r="B660" s="19"/>
      <c r="C660" s="6"/>
      <c r="D660" s="6"/>
    </row>
    <row r="661">
      <c r="A661" s="19"/>
      <c r="B661" s="19"/>
      <c r="C661" s="6"/>
      <c r="D661" s="4"/>
    </row>
    <row r="662">
      <c r="A662" s="19"/>
      <c r="B662" s="19"/>
      <c r="C662" s="6"/>
      <c r="D662" s="6"/>
    </row>
    <row r="663">
      <c r="A663" s="19"/>
      <c r="B663" s="19"/>
      <c r="C663" s="6"/>
      <c r="D663" s="6"/>
    </row>
    <row r="664">
      <c r="A664" s="19"/>
      <c r="B664" s="19"/>
      <c r="C664" s="6"/>
      <c r="D664" s="6"/>
    </row>
    <row r="665">
      <c r="A665" s="19"/>
      <c r="B665" s="19"/>
      <c r="C665" s="6"/>
      <c r="D665" s="6"/>
    </row>
    <row r="666">
      <c r="A666" s="19"/>
      <c r="B666" s="19"/>
      <c r="C666" s="6"/>
      <c r="D666" s="6"/>
    </row>
    <row r="667">
      <c r="A667" s="19"/>
      <c r="B667" s="19"/>
      <c r="C667" s="6"/>
      <c r="D667" s="6"/>
    </row>
    <row r="668">
      <c r="A668" s="19"/>
      <c r="B668" s="19"/>
      <c r="C668" s="6"/>
      <c r="D668" s="6"/>
    </row>
    <row r="669">
      <c r="A669" s="19"/>
      <c r="B669" s="19"/>
      <c r="C669" s="6"/>
      <c r="D669" s="6"/>
    </row>
    <row r="670">
      <c r="A670" s="19"/>
      <c r="B670" s="19"/>
      <c r="C670" s="6"/>
      <c r="D670" s="6"/>
    </row>
    <row r="671">
      <c r="A671" s="19"/>
      <c r="B671" s="19"/>
      <c r="C671" s="6"/>
      <c r="D671" s="6"/>
    </row>
    <row r="672">
      <c r="A672" s="19"/>
      <c r="B672" s="19"/>
      <c r="C672" s="6"/>
      <c r="D672" s="6"/>
    </row>
    <row r="673">
      <c r="A673" s="19"/>
      <c r="B673" s="19"/>
      <c r="C673" s="6"/>
      <c r="D673" s="6"/>
    </row>
    <row r="674">
      <c r="A674" s="19"/>
      <c r="B674" s="19"/>
      <c r="C674" s="6"/>
      <c r="D674" s="6"/>
    </row>
    <row r="675">
      <c r="A675" s="19"/>
      <c r="B675" s="19"/>
      <c r="C675" s="6"/>
      <c r="D675" s="6"/>
    </row>
    <row r="676">
      <c r="A676" s="19"/>
      <c r="B676" s="19"/>
      <c r="C676" s="6"/>
      <c r="D676" s="6"/>
    </row>
    <row r="677">
      <c r="A677" s="19"/>
      <c r="B677" s="19"/>
      <c r="C677" s="6"/>
      <c r="D677" s="6"/>
    </row>
    <row r="678">
      <c r="A678" s="19"/>
      <c r="B678" s="19"/>
      <c r="C678" s="4"/>
      <c r="D678" s="6"/>
    </row>
    <row r="679">
      <c r="A679" s="19"/>
      <c r="B679" s="19"/>
      <c r="C679" s="6"/>
      <c r="D679" s="6"/>
    </row>
    <row r="680">
      <c r="A680" s="19"/>
      <c r="B680" s="19"/>
      <c r="C680" s="6"/>
      <c r="D680" s="6"/>
    </row>
    <row r="681">
      <c r="A681" s="19"/>
      <c r="B681" s="19"/>
      <c r="C681" s="6"/>
      <c r="D681" s="4"/>
    </row>
    <row r="682">
      <c r="A682" s="19"/>
      <c r="B682" s="19"/>
      <c r="C682" s="6"/>
      <c r="D682" s="6"/>
    </row>
    <row r="683">
      <c r="A683" s="19"/>
      <c r="B683" s="19"/>
      <c r="C683" s="6"/>
      <c r="D683" s="6"/>
    </row>
    <row r="684">
      <c r="A684" s="19"/>
      <c r="B684" s="19"/>
      <c r="C684" s="6"/>
      <c r="D684" s="6"/>
    </row>
    <row r="685">
      <c r="A685" s="19"/>
      <c r="B685" s="19"/>
      <c r="C685" s="6"/>
      <c r="D685" s="6"/>
    </row>
    <row r="686">
      <c r="A686" s="19"/>
      <c r="B686" s="19"/>
      <c r="C686" s="6"/>
      <c r="D686" s="6"/>
    </row>
    <row r="687">
      <c r="A687" s="19"/>
      <c r="B687" s="19"/>
      <c r="C687" s="6"/>
      <c r="D687" s="6"/>
    </row>
    <row r="688">
      <c r="A688" s="19"/>
      <c r="B688" s="19"/>
      <c r="C688" s="6"/>
      <c r="D688" s="6"/>
    </row>
    <row r="689">
      <c r="A689" s="19"/>
      <c r="B689" s="19"/>
      <c r="C689" s="6"/>
      <c r="D689" s="6"/>
    </row>
    <row r="690">
      <c r="A690" s="19"/>
      <c r="B690" s="19"/>
      <c r="C690" s="6"/>
      <c r="D690" s="6"/>
    </row>
    <row r="691">
      <c r="A691" s="19"/>
      <c r="B691" s="19"/>
      <c r="C691" s="6"/>
      <c r="D691" s="6"/>
    </row>
    <row r="692">
      <c r="A692" s="19"/>
      <c r="B692" s="19"/>
      <c r="C692" s="6"/>
      <c r="D692" s="6"/>
    </row>
    <row r="693">
      <c r="A693" s="19"/>
      <c r="B693" s="19"/>
      <c r="C693" s="6"/>
      <c r="D693" s="6"/>
    </row>
    <row r="694">
      <c r="A694" s="19"/>
      <c r="B694" s="19"/>
      <c r="C694" s="6"/>
      <c r="D694" s="6"/>
    </row>
    <row r="695">
      <c r="A695" s="19"/>
      <c r="B695" s="19"/>
      <c r="C695" s="6"/>
      <c r="D695" s="6"/>
    </row>
    <row r="696">
      <c r="A696" s="19"/>
      <c r="B696" s="19"/>
      <c r="C696" s="6"/>
      <c r="D696" s="6"/>
    </row>
    <row r="697">
      <c r="A697" s="19"/>
      <c r="B697" s="19"/>
      <c r="C697" s="6"/>
      <c r="D697" s="6"/>
    </row>
    <row r="698">
      <c r="A698" s="19"/>
      <c r="B698" s="19"/>
      <c r="C698" s="4"/>
      <c r="D698" s="6"/>
    </row>
    <row r="699">
      <c r="A699" s="19"/>
      <c r="B699" s="19"/>
      <c r="C699" s="6"/>
      <c r="D699" s="6"/>
    </row>
    <row r="700">
      <c r="A700" s="19"/>
      <c r="B700" s="19"/>
      <c r="C700" s="6"/>
      <c r="D700" s="6"/>
    </row>
    <row r="701">
      <c r="A701" s="19"/>
      <c r="B701" s="19"/>
      <c r="C701" s="6"/>
      <c r="D701" s="4"/>
    </row>
    <row r="702">
      <c r="A702" s="19"/>
      <c r="B702" s="19"/>
      <c r="C702" s="6"/>
      <c r="D702" s="6"/>
    </row>
    <row r="703">
      <c r="A703" s="19"/>
      <c r="B703" s="19"/>
      <c r="C703" s="6"/>
      <c r="D703" s="6"/>
    </row>
    <row r="704">
      <c r="A704" s="19"/>
      <c r="B704" s="19"/>
      <c r="C704" s="6"/>
      <c r="D704" s="6"/>
    </row>
    <row r="705">
      <c r="A705" s="19"/>
      <c r="B705" s="19"/>
      <c r="C705" s="6"/>
      <c r="D705" s="6"/>
    </row>
    <row r="706">
      <c r="A706" s="19"/>
      <c r="B706" s="19"/>
      <c r="C706" s="6"/>
      <c r="D706" s="6"/>
    </row>
    <row r="707">
      <c r="A707" s="19"/>
      <c r="B707" s="19"/>
      <c r="C707" s="6"/>
      <c r="D707" s="6"/>
    </row>
    <row r="708">
      <c r="A708" s="19"/>
      <c r="B708" s="19"/>
      <c r="C708" s="6"/>
      <c r="D708" s="6"/>
    </row>
    <row r="709">
      <c r="A709" s="19"/>
      <c r="B709" s="19"/>
      <c r="C709" s="6"/>
      <c r="D709" s="6"/>
    </row>
    <row r="710">
      <c r="A710" s="19"/>
      <c r="B710" s="19"/>
      <c r="C710" s="6"/>
      <c r="D710" s="6"/>
    </row>
    <row r="711">
      <c r="A711" s="19"/>
      <c r="B711" s="19"/>
      <c r="C711" s="6"/>
      <c r="D711" s="6"/>
    </row>
    <row r="712">
      <c r="A712" s="19"/>
      <c r="B712" s="19"/>
      <c r="C712" s="6"/>
      <c r="D712" s="6"/>
    </row>
    <row r="713">
      <c r="A713" s="19"/>
      <c r="B713" s="19"/>
      <c r="C713" s="6"/>
      <c r="D713" s="6"/>
    </row>
    <row r="714">
      <c r="A714" s="19"/>
      <c r="B714" s="19"/>
      <c r="C714" s="6"/>
      <c r="D714" s="6"/>
    </row>
    <row r="715">
      <c r="A715" s="19"/>
      <c r="B715" s="19"/>
      <c r="C715" s="6"/>
      <c r="D715" s="6"/>
    </row>
    <row r="716">
      <c r="A716" s="19"/>
      <c r="B716" s="19"/>
      <c r="C716" s="6"/>
      <c r="D716" s="6"/>
    </row>
    <row r="717">
      <c r="A717" s="19"/>
      <c r="B717" s="19"/>
      <c r="C717" s="6"/>
      <c r="D717" s="6"/>
    </row>
    <row r="718">
      <c r="A718" s="19"/>
      <c r="B718" s="19"/>
      <c r="C718" s="4"/>
      <c r="D718" s="6"/>
    </row>
    <row r="719">
      <c r="A719" s="19"/>
      <c r="B719" s="19"/>
      <c r="C719" s="6"/>
      <c r="D719" s="6"/>
    </row>
    <row r="720">
      <c r="A720" s="19"/>
      <c r="B720" s="19"/>
      <c r="C720" s="6"/>
      <c r="D720" s="6"/>
    </row>
    <row r="721">
      <c r="A721" s="19"/>
      <c r="B721" s="19"/>
      <c r="C721" s="6"/>
      <c r="D721" s="4"/>
    </row>
    <row r="722">
      <c r="A722" s="19"/>
      <c r="B722" s="19"/>
      <c r="C722" s="6"/>
      <c r="D722" s="6"/>
    </row>
    <row r="723">
      <c r="A723" s="19"/>
      <c r="B723" s="19"/>
      <c r="C723" s="6"/>
      <c r="D723" s="6"/>
    </row>
    <row r="724">
      <c r="A724" s="19"/>
      <c r="B724" s="19"/>
      <c r="C724" s="6"/>
      <c r="D724" s="6"/>
    </row>
    <row r="725">
      <c r="A725" s="19"/>
      <c r="B725" s="19"/>
      <c r="C725" s="6"/>
      <c r="D725" s="6"/>
    </row>
    <row r="726">
      <c r="A726" s="19"/>
      <c r="B726" s="19"/>
      <c r="C726" s="6"/>
      <c r="D726" s="6"/>
    </row>
    <row r="727">
      <c r="A727" s="19"/>
      <c r="B727" s="19"/>
      <c r="C727" s="6"/>
      <c r="D727" s="6"/>
    </row>
    <row r="728">
      <c r="A728" s="19"/>
      <c r="B728" s="19"/>
      <c r="C728" s="6"/>
      <c r="D728" s="6"/>
    </row>
    <row r="729">
      <c r="A729" s="19"/>
      <c r="B729" s="19"/>
      <c r="C729" s="6"/>
      <c r="D729" s="6"/>
    </row>
    <row r="730">
      <c r="A730" s="19"/>
      <c r="B730" s="19"/>
      <c r="C730" s="6"/>
      <c r="D730" s="6"/>
    </row>
    <row r="731">
      <c r="A731" s="19"/>
      <c r="B731" s="19"/>
      <c r="C731" s="6"/>
      <c r="D731" s="6"/>
    </row>
    <row r="732">
      <c r="A732" s="19"/>
      <c r="B732" s="19"/>
      <c r="C732" s="6"/>
      <c r="D732" s="6"/>
    </row>
    <row r="733">
      <c r="A733" s="19"/>
      <c r="B733" s="19"/>
      <c r="C733" s="6"/>
      <c r="D733" s="6"/>
    </row>
    <row r="734">
      <c r="A734" s="19"/>
      <c r="B734" s="19"/>
      <c r="C734" s="6"/>
      <c r="D734" s="6"/>
    </row>
    <row r="735">
      <c r="A735" s="19"/>
      <c r="B735" s="19"/>
      <c r="C735" s="6"/>
      <c r="D735" s="6"/>
    </row>
    <row r="736">
      <c r="A736" s="19"/>
      <c r="B736" s="19"/>
      <c r="C736" s="6"/>
      <c r="D736" s="6"/>
    </row>
    <row r="737">
      <c r="A737" s="19"/>
      <c r="B737" s="19"/>
      <c r="C737" s="6"/>
      <c r="D737" s="6"/>
    </row>
    <row r="738">
      <c r="A738" s="19"/>
      <c r="B738" s="19"/>
      <c r="C738" s="4"/>
      <c r="D738" s="6"/>
    </row>
    <row r="739">
      <c r="A739" s="19"/>
      <c r="B739" s="19"/>
      <c r="C739" s="6"/>
      <c r="D739" s="6"/>
    </row>
    <row r="740">
      <c r="A740" s="19"/>
      <c r="B740" s="19"/>
      <c r="C740" s="6"/>
      <c r="D740" s="6"/>
    </row>
    <row r="741">
      <c r="A741" s="19"/>
      <c r="B741" s="19"/>
      <c r="C741" s="6"/>
      <c r="D741" s="4"/>
    </row>
    <row r="742">
      <c r="A742" s="19"/>
      <c r="B742" s="19"/>
      <c r="C742" s="6"/>
      <c r="D742" s="6"/>
    </row>
    <row r="743">
      <c r="A743" s="19"/>
      <c r="B743" s="19"/>
      <c r="C743" s="6"/>
      <c r="D743" s="6"/>
    </row>
    <row r="744">
      <c r="A744" s="19"/>
      <c r="B744" s="19"/>
      <c r="C744" s="6"/>
      <c r="D744" s="6"/>
    </row>
    <row r="745">
      <c r="A745" s="19"/>
      <c r="B745" s="19"/>
      <c r="C745" s="6"/>
      <c r="D745" s="6"/>
    </row>
    <row r="746">
      <c r="A746" s="19"/>
      <c r="B746" s="19"/>
      <c r="C746" s="6"/>
      <c r="D746" s="6"/>
    </row>
    <row r="747">
      <c r="A747" s="19"/>
      <c r="B747" s="19"/>
      <c r="C747" s="6"/>
      <c r="D747" s="6"/>
    </row>
    <row r="748">
      <c r="A748" s="19"/>
      <c r="B748" s="19"/>
      <c r="C748" s="6"/>
      <c r="D748" s="6"/>
    </row>
    <row r="749">
      <c r="A749" s="19"/>
      <c r="B749" s="19"/>
      <c r="C749" s="6"/>
      <c r="D749" s="6"/>
    </row>
    <row r="750">
      <c r="A750" s="19"/>
      <c r="B750" s="19"/>
      <c r="C750" s="6"/>
      <c r="D750" s="6"/>
    </row>
    <row r="751">
      <c r="A751" s="19"/>
      <c r="B751" s="19"/>
      <c r="C751" s="6"/>
      <c r="D751" s="6"/>
    </row>
    <row r="752">
      <c r="A752" s="19"/>
      <c r="B752" s="19"/>
      <c r="C752" s="6"/>
      <c r="D752" s="6"/>
    </row>
    <row r="753">
      <c r="A753" s="19"/>
      <c r="B753" s="19"/>
      <c r="C753" s="6"/>
      <c r="D753" s="6"/>
    </row>
    <row r="754">
      <c r="A754" s="19"/>
      <c r="B754" s="19"/>
      <c r="C754" s="6"/>
      <c r="D754" s="6"/>
    </row>
    <row r="755">
      <c r="A755" s="19"/>
      <c r="B755" s="19"/>
      <c r="C755" s="6"/>
      <c r="D755" s="6"/>
    </row>
    <row r="756">
      <c r="A756" s="19"/>
      <c r="B756" s="19"/>
      <c r="C756" s="6"/>
      <c r="D756" s="6"/>
    </row>
    <row r="757">
      <c r="A757" s="19"/>
      <c r="B757" s="19"/>
      <c r="C757" s="6"/>
      <c r="D757" s="6"/>
    </row>
    <row r="758">
      <c r="A758" s="19"/>
      <c r="B758" s="19"/>
      <c r="C758" s="4"/>
      <c r="D758" s="6"/>
    </row>
    <row r="759">
      <c r="A759" s="19"/>
      <c r="B759" s="19"/>
      <c r="C759" s="6"/>
      <c r="D759" s="6"/>
    </row>
    <row r="760">
      <c r="A760" s="19"/>
      <c r="B760" s="19"/>
      <c r="C760" s="6"/>
      <c r="D760" s="6"/>
    </row>
    <row r="761">
      <c r="A761" s="19"/>
      <c r="B761" s="19"/>
      <c r="C761" s="6"/>
      <c r="D761" s="4"/>
    </row>
    <row r="762">
      <c r="A762" s="19"/>
      <c r="B762" s="19"/>
      <c r="C762" s="6"/>
      <c r="D762" s="6"/>
    </row>
    <row r="763">
      <c r="A763" s="19"/>
      <c r="B763" s="19"/>
      <c r="C763" s="6"/>
      <c r="D763" s="6"/>
    </row>
    <row r="764">
      <c r="A764" s="19"/>
      <c r="B764" s="19"/>
      <c r="C764" s="6"/>
      <c r="D764" s="6"/>
    </row>
    <row r="765">
      <c r="A765" s="19"/>
      <c r="B765" s="19"/>
      <c r="C765" s="6"/>
      <c r="D765" s="6"/>
    </row>
    <row r="766">
      <c r="A766" s="19"/>
      <c r="B766" s="19"/>
      <c r="C766" s="6"/>
      <c r="D766" s="6"/>
    </row>
    <row r="767">
      <c r="A767" s="19"/>
      <c r="B767" s="19"/>
      <c r="C767" s="6"/>
      <c r="D767" s="6"/>
    </row>
    <row r="768">
      <c r="A768" s="19"/>
      <c r="B768" s="19"/>
      <c r="C768" s="6"/>
      <c r="D768" s="6"/>
    </row>
    <row r="769">
      <c r="A769" s="19"/>
      <c r="B769" s="19"/>
      <c r="C769" s="6"/>
      <c r="D769" s="6"/>
    </row>
    <row r="770">
      <c r="A770" s="19"/>
      <c r="B770" s="19"/>
      <c r="C770" s="6"/>
      <c r="D770" s="6"/>
    </row>
    <row r="771">
      <c r="A771" s="19"/>
      <c r="B771" s="19"/>
      <c r="C771" s="6"/>
      <c r="D771" s="6"/>
    </row>
    <row r="772">
      <c r="A772" s="19"/>
      <c r="B772" s="19"/>
      <c r="C772" s="6"/>
      <c r="D772" s="6"/>
    </row>
    <row r="773">
      <c r="A773" s="19"/>
      <c r="B773" s="19"/>
      <c r="C773" s="6"/>
      <c r="D773" s="6"/>
    </row>
    <row r="774">
      <c r="A774" s="19"/>
      <c r="B774" s="19"/>
      <c r="C774" s="6"/>
      <c r="D774" s="6"/>
    </row>
    <row r="775">
      <c r="A775" s="19"/>
      <c r="B775" s="19"/>
      <c r="C775" s="6"/>
      <c r="D775" s="6"/>
    </row>
    <row r="776">
      <c r="A776" s="19"/>
      <c r="B776" s="19"/>
      <c r="C776" s="6"/>
      <c r="D776" s="6"/>
    </row>
    <row r="777">
      <c r="A777" s="19"/>
      <c r="B777" s="19"/>
      <c r="C777" s="6"/>
      <c r="D777" s="6"/>
    </row>
    <row r="778">
      <c r="A778" s="19"/>
      <c r="B778" s="19"/>
      <c r="C778" s="4"/>
      <c r="D778" s="6"/>
    </row>
    <row r="779">
      <c r="A779" s="19"/>
      <c r="B779" s="19"/>
      <c r="C779" s="6"/>
      <c r="D779" s="6"/>
    </row>
    <row r="780">
      <c r="A780" s="19"/>
      <c r="B780" s="19"/>
      <c r="C780" s="6"/>
      <c r="D780" s="6"/>
    </row>
    <row r="781">
      <c r="A781" s="19"/>
      <c r="B781" s="19"/>
      <c r="C781" s="6"/>
      <c r="D781" s="4"/>
    </row>
    <row r="782">
      <c r="A782" s="19"/>
      <c r="B782" s="19"/>
      <c r="C782" s="6"/>
      <c r="D782" s="6"/>
    </row>
    <row r="783">
      <c r="A783" s="19"/>
      <c r="B783" s="19"/>
      <c r="C783" s="6"/>
      <c r="D783" s="6"/>
    </row>
    <row r="784">
      <c r="A784" s="19"/>
      <c r="B784" s="19"/>
      <c r="C784" s="6"/>
      <c r="D784" s="6"/>
    </row>
    <row r="785">
      <c r="A785" s="19"/>
      <c r="B785" s="19"/>
      <c r="C785" s="6"/>
      <c r="D785" s="6"/>
    </row>
    <row r="786">
      <c r="A786" s="19"/>
      <c r="B786" s="19"/>
      <c r="C786" s="6"/>
      <c r="D786" s="6"/>
    </row>
    <row r="787">
      <c r="A787" s="19"/>
      <c r="B787" s="19"/>
      <c r="C787" s="6"/>
      <c r="D787" s="6"/>
    </row>
    <row r="788">
      <c r="A788" s="19"/>
      <c r="B788" s="19"/>
      <c r="C788" s="6"/>
      <c r="D788" s="6"/>
    </row>
    <row r="789">
      <c r="A789" s="19"/>
      <c r="B789" s="19"/>
      <c r="C789" s="6"/>
      <c r="D789" s="6"/>
    </row>
    <row r="790">
      <c r="A790" s="19"/>
      <c r="B790" s="19"/>
      <c r="C790" s="6"/>
      <c r="D790" s="6"/>
    </row>
    <row r="791">
      <c r="A791" s="19"/>
      <c r="B791" s="19"/>
      <c r="C791" s="6"/>
      <c r="D791" s="6"/>
    </row>
    <row r="792">
      <c r="A792" s="19"/>
      <c r="B792" s="19"/>
      <c r="C792" s="6"/>
      <c r="D792" s="6"/>
    </row>
    <row r="793">
      <c r="A793" s="19"/>
      <c r="B793" s="19"/>
      <c r="C793" s="6"/>
      <c r="D793" s="6"/>
    </row>
    <row r="794">
      <c r="A794" s="19"/>
      <c r="B794" s="19"/>
      <c r="C794" s="6"/>
      <c r="D794" s="6"/>
    </row>
    <row r="795">
      <c r="A795" s="19"/>
      <c r="B795" s="19"/>
      <c r="C795" s="6"/>
      <c r="D795" s="6"/>
    </row>
    <row r="796">
      <c r="A796" s="19"/>
      <c r="B796" s="19"/>
      <c r="C796" s="6"/>
      <c r="D796" s="6"/>
    </row>
    <row r="797">
      <c r="A797" s="19"/>
      <c r="B797" s="19"/>
      <c r="C797" s="6"/>
      <c r="D797" s="6"/>
    </row>
    <row r="798">
      <c r="A798" s="19"/>
      <c r="B798" s="19"/>
      <c r="C798" s="4"/>
      <c r="D798" s="6"/>
    </row>
    <row r="799">
      <c r="A799" s="19"/>
      <c r="B799" s="19"/>
      <c r="C799" s="6"/>
      <c r="D799" s="6"/>
    </row>
    <row r="800">
      <c r="A800" s="19"/>
      <c r="B800" s="19"/>
      <c r="C800" s="6"/>
      <c r="D800" s="6"/>
    </row>
    <row r="801">
      <c r="A801" s="19"/>
      <c r="B801" s="19"/>
      <c r="C801" s="6"/>
      <c r="D801" s="4"/>
    </row>
    <row r="802">
      <c r="A802" s="19"/>
      <c r="B802" s="19"/>
      <c r="C802" s="6"/>
      <c r="D802" s="6"/>
    </row>
    <row r="803">
      <c r="A803" s="19"/>
      <c r="B803" s="19"/>
      <c r="C803" s="6"/>
      <c r="D803" s="6"/>
    </row>
    <row r="804">
      <c r="A804" s="19"/>
      <c r="B804" s="19"/>
      <c r="C804" s="6"/>
      <c r="D804" s="6"/>
    </row>
    <row r="805">
      <c r="A805" s="19"/>
      <c r="B805" s="19"/>
      <c r="C805" s="6"/>
      <c r="D805" s="6"/>
    </row>
    <row r="806">
      <c r="A806" s="19"/>
      <c r="B806" s="19"/>
      <c r="C806" s="6"/>
      <c r="D806" s="6"/>
    </row>
    <row r="807">
      <c r="A807" s="19"/>
      <c r="B807" s="19"/>
      <c r="C807" s="6"/>
      <c r="D807" s="6"/>
    </row>
    <row r="808">
      <c r="A808" s="19"/>
      <c r="B808" s="19"/>
      <c r="C808" s="6"/>
      <c r="D808" s="6"/>
    </row>
    <row r="809">
      <c r="A809" s="19"/>
      <c r="B809" s="19"/>
      <c r="C809" s="6"/>
      <c r="D809" s="6"/>
    </row>
    <row r="810">
      <c r="A810" s="19"/>
      <c r="B810" s="19"/>
      <c r="C810" s="6"/>
      <c r="D810" s="6"/>
    </row>
    <row r="811">
      <c r="A811" s="19"/>
      <c r="B811" s="19"/>
      <c r="C811" s="6"/>
      <c r="D811" s="6"/>
    </row>
    <row r="812">
      <c r="A812" s="19"/>
      <c r="B812" s="19"/>
      <c r="C812" s="6"/>
      <c r="D812" s="6"/>
    </row>
    <row r="813">
      <c r="A813" s="19"/>
      <c r="B813" s="19"/>
      <c r="C813" s="6"/>
      <c r="D813" s="6"/>
    </row>
    <row r="814">
      <c r="A814" s="19"/>
      <c r="B814" s="19"/>
      <c r="C814" s="6"/>
      <c r="D814" s="6"/>
    </row>
    <row r="815">
      <c r="A815" s="19"/>
      <c r="B815" s="19"/>
      <c r="C815" s="6"/>
      <c r="D815" s="6"/>
    </row>
    <row r="816">
      <c r="A816" s="19"/>
      <c r="B816" s="19"/>
      <c r="C816" s="6"/>
      <c r="D816" s="6"/>
    </row>
    <row r="817">
      <c r="A817" s="19"/>
      <c r="B817" s="19"/>
      <c r="C817" s="6"/>
      <c r="D817" s="6"/>
    </row>
    <row r="818">
      <c r="A818" s="19"/>
      <c r="B818" s="19"/>
      <c r="C818" s="4"/>
      <c r="D818" s="6"/>
    </row>
    <row r="819">
      <c r="A819" s="19"/>
      <c r="B819" s="19"/>
      <c r="C819" s="6"/>
      <c r="D819" s="6"/>
    </row>
    <row r="820">
      <c r="A820" s="19"/>
      <c r="B820" s="19"/>
      <c r="C820" s="6"/>
      <c r="D820" s="6"/>
    </row>
    <row r="821">
      <c r="A821" s="19"/>
      <c r="B821" s="19"/>
      <c r="C821" s="6"/>
      <c r="D821" s="4"/>
    </row>
    <row r="822">
      <c r="A822" s="19"/>
      <c r="B822" s="19"/>
      <c r="C822" s="6"/>
      <c r="D822" s="6"/>
    </row>
    <row r="823">
      <c r="A823" s="19"/>
      <c r="B823" s="19"/>
      <c r="C823" s="6"/>
      <c r="D823" s="6"/>
    </row>
    <row r="824">
      <c r="A824" s="19"/>
      <c r="B824" s="19"/>
      <c r="C824" s="6"/>
      <c r="D824" s="6"/>
    </row>
    <row r="825">
      <c r="A825" s="19"/>
      <c r="B825" s="19"/>
      <c r="C825" s="6"/>
      <c r="D825" s="6"/>
    </row>
    <row r="826">
      <c r="A826" s="19"/>
      <c r="B826" s="19"/>
      <c r="C826" s="6"/>
      <c r="D826" s="6"/>
    </row>
    <row r="827">
      <c r="A827" s="19"/>
      <c r="B827" s="19"/>
      <c r="C827" s="6"/>
      <c r="D827" s="6"/>
    </row>
    <row r="828">
      <c r="A828" s="19"/>
      <c r="B828" s="19"/>
      <c r="C828" s="6"/>
      <c r="D828" s="6"/>
    </row>
    <row r="829">
      <c r="A829" s="19"/>
      <c r="B829" s="19"/>
      <c r="C829" s="6"/>
      <c r="D829" s="6"/>
    </row>
    <row r="830">
      <c r="A830" s="19"/>
      <c r="B830" s="19"/>
      <c r="C830" s="6"/>
      <c r="D830" s="6"/>
    </row>
    <row r="831">
      <c r="A831" s="19"/>
      <c r="B831" s="19"/>
      <c r="C831" s="6"/>
      <c r="D831" s="6"/>
    </row>
    <row r="832">
      <c r="A832" s="19"/>
      <c r="B832" s="19"/>
      <c r="C832" s="6"/>
      <c r="D832" s="6"/>
    </row>
    <row r="833">
      <c r="A833" s="19"/>
      <c r="B833" s="19"/>
      <c r="C833" s="6"/>
      <c r="D833" s="6"/>
    </row>
    <row r="834">
      <c r="A834" s="19"/>
      <c r="B834" s="19"/>
      <c r="C834" s="6"/>
      <c r="D834" s="6"/>
    </row>
    <row r="835">
      <c r="A835" s="19"/>
      <c r="B835" s="19"/>
      <c r="C835" s="6"/>
      <c r="D835" s="6"/>
    </row>
    <row r="836">
      <c r="A836" s="19"/>
      <c r="B836" s="19"/>
      <c r="C836" s="6"/>
      <c r="D836" s="6"/>
    </row>
    <row r="837">
      <c r="A837" s="19"/>
      <c r="B837" s="19"/>
      <c r="C837" s="6"/>
      <c r="D837" s="6"/>
    </row>
    <row r="838">
      <c r="A838" s="19"/>
      <c r="B838" s="19"/>
      <c r="C838" s="4"/>
      <c r="D838" s="6"/>
    </row>
    <row r="839">
      <c r="A839" s="19"/>
      <c r="B839" s="19"/>
      <c r="C839" s="6"/>
      <c r="D839" s="6"/>
    </row>
    <row r="840">
      <c r="A840" s="19"/>
      <c r="B840" s="19"/>
      <c r="C840" s="6"/>
      <c r="D840" s="6"/>
    </row>
    <row r="841">
      <c r="A841" s="19"/>
      <c r="B841" s="19"/>
      <c r="C841" s="6"/>
      <c r="D841" s="4"/>
    </row>
    <row r="842">
      <c r="A842" s="19"/>
      <c r="B842" s="19"/>
      <c r="C842" s="6"/>
      <c r="D842" s="6"/>
    </row>
    <row r="843">
      <c r="A843" s="19"/>
      <c r="B843" s="19"/>
      <c r="C843" s="6"/>
      <c r="D843" s="6"/>
    </row>
    <row r="844">
      <c r="A844" s="19"/>
      <c r="B844" s="19"/>
      <c r="C844" s="6"/>
      <c r="D844" s="6"/>
    </row>
    <row r="845">
      <c r="A845" s="19"/>
      <c r="B845" s="19"/>
      <c r="C845" s="6"/>
      <c r="D845" s="6"/>
    </row>
    <row r="846">
      <c r="A846" s="19"/>
      <c r="B846" s="19"/>
      <c r="C846" s="6"/>
      <c r="D846" s="6"/>
    </row>
    <row r="847">
      <c r="A847" s="19"/>
      <c r="B847" s="19"/>
      <c r="C847" s="6"/>
      <c r="D847" s="6"/>
    </row>
    <row r="848">
      <c r="A848" s="19"/>
      <c r="B848" s="19"/>
      <c r="C848" s="6"/>
      <c r="D848" s="6"/>
    </row>
    <row r="849">
      <c r="A849" s="19"/>
      <c r="B849" s="19"/>
      <c r="C849" s="6"/>
      <c r="D849" s="6"/>
    </row>
    <row r="850">
      <c r="A850" s="19"/>
      <c r="B850" s="19"/>
      <c r="C850" s="6"/>
      <c r="D850" s="6"/>
    </row>
    <row r="851">
      <c r="A851" s="19"/>
      <c r="B851" s="19"/>
      <c r="C851" s="6"/>
      <c r="D851" s="6"/>
    </row>
    <row r="852">
      <c r="A852" s="19"/>
      <c r="B852" s="19"/>
      <c r="C852" s="6"/>
      <c r="D852" s="6"/>
    </row>
    <row r="853">
      <c r="A853" s="19"/>
      <c r="B853" s="19"/>
      <c r="C853" s="6"/>
      <c r="D853" s="6"/>
    </row>
    <row r="854">
      <c r="A854" s="19"/>
      <c r="B854" s="19"/>
      <c r="C854" s="6"/>
      <c r="D854" s="6"/>
    </row>
    <row r="855">
      <c r="A855" s="19"/>
      <c r="B855" s="19"/>
      <c r="C855" s="6"/>
      <c r="D855" s="6"/>
    </row>
    <row r="856">
      <c r="A856" s="19"/>
      <c r="B856" s="19"/>
      <c r="C856" s="6"/>
      <c r="D856" s="6"/>
    </row>
    <row r="857">
      <c r="A857" s="19"/>
      <c r="B857" s="19"/>
      <c r="C857" s="6"/>
      <c r="D857" s="6"/>
    </row>
    <row r="858">
      <c r="A858" s="19"/>
      <c r="B858" s="19"/>
      <c r="C858" s="4"/>
      <c r="D858" s="6"/>
    </row>
    <row r="859">
      <c r="A859" s="19"/>
      <c r="B859" s="19"/>
      <c r="C859" s="6"/>
      <c r="D859" s="6"/>
    </row>
    <row r="860">
      <c r="A860" s="19"/>
      <c r="B860" s="19"/>
      <c r="C860" s="6"/>
      <c r="D860" s="6"/>
    </row>
    <row r="861">
      <c r="A861" s="19"/>
      <c r="B861" s="19"/>
      <c r="C861" s="6"/>
      <c r="D861" s="4"/>
    </row>
    <row r="862">
      <c r="A862" s="19"/>
      <c r="B862" s="19"/>
      <c r="C862" s="6"/>
      <c r="D862" s="6"/>
    </row>
    <row r="863">
      <c r="A863" s="19"/>
      <c r="B863" s="19"/>
      <c r="C863" s="6"/>
      <c r="D863" s="6"/>
    </row>
    <row r="864">
      <c r="A864" s="19"/>
      <c r="B864" s="19"/>
      <c r="C864" s="6"/>
      <c r="D864" s="6"/>
    </row>
    <row r="865">
      <c r="A865" s="19"/>
      <c r="B865" s="19"/>
      <c r="C865" s="6"/>
      <c r="D865" s="6"/>
    </row>
    <row r="866">
      <c r="A866" s="19"/>
      <c r="B866" s="19"/>
      <c r="C866" s="6"/>
      <c r="D866" s="6"/>
    </row>
    <row r="867">
      <c r="A867" s="19"/>
      <c r="B867" s="19"/>
      <c r="C867" s="6"/>
      <c r="D867" s="6"/>
    </row>
    <row r="868">
      <c r="A868" s="19"/>
      <c r="B868" s="19"/>
      <c r="C868" s="6"/>
      <c r="D868" s="6"/>
    </row>
    <row r="869">
      <c r="A869" s="19"/>
      <c r="B869" s="19"/>
      <c r="C869" s="6"/>
      <c r="D869" s="6"/>
    </row>
    <row r="870">
      <c r="A870" s="19"/>
      <c r="B870" s="19"/>
      <c r="C870" s="6"/>
      <c r="D870" s="6"/>
    </row>
    <row r="871">
      <c r="A871" s="19"/>
      <c r="B871" s="19"/>
      <c r="C871" s="6"/>
      <c r="D871" s="6"/>
    </row>
    <row r="872">
      <c r="A872" s="19"/>
      <c r="B872" s="19"/>
      <c r="C872" s="6"/>
      <c r="D872" s="6"/>
    </row>
    <row r="873">
      <c r="A873" s="19"/>
      <c r="B873" s="19"/>
      <c r="C873" s="6"/>
      <c r="D873" s="6"/>
    </row>
    <row r="874">
      <c r="A874" s="19"/>
      <c r="B874" s="19"/>
      <c r="C874" s="6"/>
      <c r="D874" s="6"/>
    </row>
    <row r="875">
      <c r="A875" s="19"/>
      <c r="B875" s="19"/>
      <c r="C875" s="6"/>
      <c r="D875" s="6"/>
    </row>
    <row r="876">
      <c r="A876" s="19"/>
      <c r="B876" s="19"/>
      <c r="C876" s="6"/>
      <c r="D876" s="6"/>
    </row>
    <row r="877">
      <c r="A877" s="19"/>
      <c r="B877" s="19"/>
      <c r="C877" s="6"/>
      <c r="D877" s="6"/>
    </row>
    <row r="878">
      <c r="A878" s="19"/>
      <c r="B878" s="19"/>
      <c r="C878" s="4"/>
      <c r="D878" s="6"/>
    </row>
    <row r="879">
      <c r="A879" s="19"/>
      <c r="B879" s="19"/>
      <c r="C879" s="6"/>
      <c r="D879" s="6"/>
    </row>
    <row r="880">
      <c r="A880" s="19"/>
      <c r="B880" s="19"/>
      <c r="C880" s="6"/>
      <c r="D880" s="6"/>
    </row>
    <row r="881">
      <c r="A881" s="19"/>
      <c r="B881" s="19"/>
      <c r="C881" s="6"/>
      <c r="D881" s="4"/>
    </row>
    <row r="882">
      <c r="A882" s="19"/>
      <c r="B882" s="19"/>
      <c r="C882" s="6"/>
      <c r="D882" s="6"/>
    </row>
    <row r="883">
      <c r="A883" s="19"/>
      <c r="B883" s="19"/>
      <c r="C883" s="6"/>
      <c r="D883" s="6"/>
    </row>
    <row r="884">
      <c r="A884" s="19"/>
      <c r="B884" s="19"/>
      <c r="C884" s="6"/>
      <c r="D884" s="6"/>
    </row>
    <row r="885">
      <c r="A885" s="19"/>
      <c r="B885" s="19"/>
      <c r="C885" s="6"/>
      <c r="D885" s="6"/>
    </row>
    <row r="886">
      <c r="A886" s="19"/>
      <c r="B886" s="19"/>
      <c r="C886" s="6"/>
      <c r="D886" s="6"/>
    </row>
    <row r="887">
      <c r="A887" s="19"/>
      <c r="B887" s="19"/>
      <c r="C887" s="6"/>
      <c r="D887" s="6"/>
    </row>
    <row r="888">
      <c r="A888" s="19"/>
      <c r="B888" s="19"/>
      <c r="C888" s="6"/>
      <c r="D888" s="6"/>
    </row>
    <row r="889">
      <c r="A889" s="19"/>
      <c r="B889" s="19"/>
      <c r="C889" s="6"/>
      <c r="D889" s="6"/>
    </row>
    <row r="890">
      <c r="A890" s="19"/>
      <c r="B890" s="19"/>
      <c r="C890" s="6"/>
      <c r="D890" s="6"/>
    </row>
    <row r="891">
      <c r="A891" s="19"/>
      <c r="B891" s="19"/>
      <c r="C891" s="6"/>
      <c r="D891" s="6"/>
    </row>
    <row r="892">
      <c r="A892" s="19"/>
      <c r="B892" s="19"/>
      <c r="C892" s="6"/>
      <c r="D892" s="6"/>
    </row>
    <row r="893">
      <c r="A893" s="19"/>
      <c r="B893" s="19"/>
      <c r="C893" s="6"/>
      <c r="D893" s="6"/>
    </row>
    <row r="894">
      <c r="A894" s="19"/>
      <c r="B894" s="19"/>
      <c r="C894" s="6"/>
      <c r="D894" s="6"/>
    </row>
    <row r="895">
      <c r="A895" s="19"/>
      <c r="B895" s="19"/>
      <c r="C895" s="6"/>
      <c r="D895" s="6"/>
    </row>
    <row r="896">
      <c r="A896" s="19"/>
      <c r="B896" s="19"/>
      <c r="C896" s="6"/>
      <c r="D896" s="6"/>
    </row>
    <row r="897">
      <c r="A897" s="19"/>
      <c r="B897" s="19"/>
      <c r="C897" s="6"/>
      <c r="D897" s="6"/>
    </row>
    <row r="898">
      <c r="A898" s="19"/>
      <c r="B898" s="19"/>
      <c r="C898" s="4"/>
      <c r="D898" s="6"/>
    </row>
    <row r="899">
      <c r="A899" s="19"/>
      <c r="B899" s="19"/>
      <c r="C899" s="6"/>
      <c r="D899" s="6"/>
    </row>
    <row r="900">
      <c r="A900" s="19"/>
      <c r="B900" s="19"/>
      <c r="C900" s="6"/>
      <c r="D900" s="6"/>
    </row>
    <row r="901">
      <c r="A901" s="19"/>
      <c r="B901" s="19"/>
      <c r="C901" s="6"/>
      <c r="D901" s="4"/>
    </row>
    <row r="902">
      <c r="A902" s="19"/>
      <c r="B902" s="19"/>
      <c r="C902" s="6"/>
      <c r="D902" s="6"/>
    </row>
    <row r="903">
      <c r="A903" s="19"/>
      <c r="B903" s="19"/>
      <c r="C903" s="6"/>
      <c r="D903" s="6"/>
    </row>
    <row r="904">
      <c r="A904" s="19"/>
      <c r="B904" s="19"/>
      <c r="C904" s="6"/>
      <c r="D904" s="6"/>
    </row>
    <row r="905">
      <c r="A905" s="19"/>
      <c r="B905" s="19"/>
      <c r="C905" s="6"/>
      <c r="D905" s="6"/>
    </row>
    <row r="906">
      <c r="A906" s="19"/>
      <c r="B906" s="19"/>
      <c r="C906" s="6"/>
      <c r="D906" s="6"/>
    </row>
    <row r="907">
      <c r="A907" s="19"/>
      <c r="B907" s="19"/>
      <c r="C907" s="6"/>
      <c r="D907" s="6"/>
    </row>
    <row r="908">
      <c r="A908" s="19"/>
      <c r="B908" s="19"/>
      <c r="C908" s="6"/>
      <c r="D908" s="6"/>
    </row>
    <row r="909">
      <c r="A909" s="19"/>
      <c r="B909" s="19"/>
      <c r="C909" s="6"/>
      <c r="D909" s="6"/>
    </row>
    <row r="910">
      <c r="A910" s="19"/>
      <c r="B910" s="19"/>
      <c r="C910" s="6"/>
      <c r="D910" s="6"/>
    </row>
    <row r="911">
      <c r="A911" s="19"/>
      <c r="B911" s="19"/>
      <c r="C911" s="6"/>
      <c r="D911" s="6"/>
    </row>
    <row r="912">
      <c r="A912" s="19"/>
      <c r="B912" s="19"/>
      <c r="C912" s="6"/>
      <c r="D912" s="6"/>
    </row>
    <row r="913">
      <c r="A913" s="19"/>
      <c r="B913" s="19"/>
      <c r="C913" s="6"/>
      <c r="D913" s="6"/>
    </row>
    <row r="914">
      <c r="A914" s="19"/>
      <c r="B914" s="19"/>
      <c r="C914" s="6"/>
      <c r="D914" s="6"/>
    </row>
    <row r="915">
      <c r="A915" s="19"/>
      <c r="B915" s="19"/>
      <c r="C915" s="6"/>
      <c r="D915" s="6"/>
    </row>
    <row r="916">
      <c r="A916" s="19"/>
      <c r="B916" s="19"/>
      <c r="C916" s="6"/>
      <c r="D916" s="6"/>
    </row>
    <row r="917">
      <c r="A917" s="19"/>
      <c r="B917" s="19"/>
      <c r="C917" s="6"/>
      <c r="D917" s="6"/>
    </row>
    <row r="918">
      <c r="A918" s="19"/>
      <c r="B918" s="19"/>
      <c r="C918" s="4"/>
      <c r="D918" s="6"/>
    </row>
    <row r="919">
      <c r="A919" s="19"/>
      <c r="B919" s="19"/>
      <c r="C919" s="6"/>
      <c r="D919" s="6"/>
    </row>
    <row r="920">
      <c r="A920" s="19"/>
      <c r="B920" s="19"/>
      <c r="C920" s="6"/>
      <c r="D920" s="6"/>
    </row>
    <row r="921">
      <c r="A921" s="19"/>
      <c r="B921" s="19"/>
      <c r="C921" s="6"/>
      <c r="D921" s="4"/>
    </row>
    <row r="922">
      <c r="A922" s="19"/>
      <c r="B922" s="19"/>
      <c r="C922" s="6"/>
      <c r="D922" s="6"/>
    </row>
    <row r="923">
      <c r="A923" s="19"/>
      <c r="B923" s="19"/>
      <c r="C923" s="6"/>
      <c r="D923" s="6"/>
    </row>
    <row r="924">
      <c r="A924" s="19"/>
      <c r="B924" s="19"/>
      <c r="C924" s="6"/>
      <c r="D924" s="6"/>
    </row>
    <row r="925">
      <c r="A925" s="19"/>
      <c r="B925" s="19"/>
      <c r="C925" s="6"/>
      <c r="D925" s="6"/>
    </row>
    <row r="926">
      <c r="A926" s="19"/>
      <c r="B926" s="19"/>
      <c r="C926" s="6"/>
      <c r="D926" s="6"/>
    </row>
    <row r="927">
      <c r="A927" s="19"/>
      <c r="B927" s="19"/>
      <c r="C927" s="6"/>
      <c r="D927" s="6"/>
    </row>
    <row r="928">
      <c r="A928" s="19"/>
      <c r="B928" s="19"/>
      <c r="C928" s="6"/>
      <c r="D928" s="6"/>
    </row>
    <row r="929">
      <c r="A929" s="19"/>
      <c r="B929" s="19"/>
      <c r="C929" s="6"/>
      <c r="D929" s="6"/>
    </row>
    <row r="930">
      <c r="A930" s="19"/>
      <c r="B930" s="19"/>
      <c r="C930" s="6"/>
      <c r="D930" s="6"/>
    </row>
    <row r="931">
      <c r="A931" s="19"/>
      <c r="B931" s="19"/>
      <c r="C931" s="6"/>
      <c r="D931" s="6"/>
    </row>
    <row r="932">
      <c r="A932" s="19"/>
      <c r="B932" s="19"/>
      <c r="C932" s="6"/>
      <c r="D932" s="6"/>
    </row>
    <row r="933">
      <c r="A933" s="19"/>
      <c r="B933" s="19"/>
      <c r="C933" s="6"/>
      <c r="D933" s="6"/>
    </row>
    <row r="934">
      <c r="A934" s="19"/>
      <c r="B934" s="19"/>
      <c r="C934" s="6"/>
      <c r="D934" s="6"/>
    </row>
    <row r="935">
      <c r="A935" s="19"/>
      <c r="B935" s="19"/>
      <c r="C935" s="6"/>
      <c r="D935" s="6"/>
    </row>
    <row r="936">
      <c r="A936" s="19"/>
      <c r="B936" s="19"/>
      <c r="C936" s="6"/>
      <c r="D936" s="6"/>
    </row>
    <row r="937">
      <c r="A937" s="19"/>
      <c r="B937" s="19"/>
      <c r="C937" s="6"/>
      <c r="D937" s="6"/>
    </row>
    <row r="938">
      <c r="A938" s="19"/>
      <c r="B938" s="19"/>
      <c r="C938" s="4"/>
      <c r="D938" s="6"/>
    </row>
    <row r="939">
      <c r="A939" s="19"/>
      <c r="B939" s="19"/>
      <c r="C939" s="6"/>
      <c r="D939" s="6"/>
    </row>
    <row r="940">
      <c r="A940" s="19"/>
      <c r="B940" s="19"/>
      <c r="C940" s="6"/>
      <c r="D940" s="6"/>
    </row>
    <row r="941">
      <c r="A941" s="19"/>
      <c r="B941" s="19"/>
      <c r="C941" s="6"/>
      <c r="D941" s="4"/>
    </row>
    <row r="942">
      <c r="A942" s="19"/>
      <c r="B942" s="19"/>
      <c r="C942" s="6"/>
      <c r="D942" s="6"/>
    </row>
    <row r="943">
      <c r="A943" s="19"/>
      <c r="B943" s="19"/>
      <c r="C943" s="6"/>
      <c r="D943" s="6"/>
    </row>
    <row r="944">
      <c r="A944" s="19"/>
      <c r="B944" s="19"/>
      <c r="C944" s="6"/>
      <c r="D944" s="6"/>
    </row>
    <row r="945">
      <c r="A945" s="19"/>
      <c r="B945" s="19"/>
      <c r="C945" s="6"/>
      <c r="D945" s="6"/>
    </row>
    <row r="946">
      <c r="A946" s="19"/>
      <c r="B946" s="19"/>
      <c r="C946" s="6"/>
      <c r="D946" s="6"/>
    </row>
    <row r="947">
      <c r="A947" s="19"/>
      <c r="B947" s="19"/>
      <c r="C947" s="6"/>
      <c r="D947" s="6"/>
    </row>
    <row r="948">
      <c r="A948" s="19"/>
      <c r="B948" s="19"/>
      <c r="C948" s="6"/>
      <c r="D948" s="6"/>
    </row>
    <row r="949">
      <c r="A949" s="19"/>
      <c r="B949" s="19"/>
      <c r="C949" s="6"/>
      <c r="D949" s="6"/>
    </row>
    <row r="950">
      <c r="A950" s="19"/>
      <c r="B950" s="19"/>
      <c r="C950" s="6"/>
      <c r="D950" s="6"/>
    </row>
    <row r="951">
      <c r="A951" s="19"/>
      <c r="B951" s="19"/>
      <c r="C951" s="6"/>
      <c r="D951" s="6"/>
    </row>
    <row r="952">
      <c r="A952" s="19"/>
      <c r="B952" s="19"/>
      <c r="C952" s="6"/>
      <c r="D952" s="6"/>
    </row>
    <row r="953">
      <c r="A953" s="19"/>
      <c r="B953" s="19"/>
      <c r="C953" s="6"/>
      <c r="D953" s="6"/>
    </row>
    <row r="954">
      <c r="A954" s="19"/>
      <c r="B954" s="19"/>
      <c r="C954" s="6"/>
      <c r="D954" s="6"/>
    </row>
    <row r="955">
      <c r="A955" s="19"/>
      <c r="B955" s="19"/>
      <c r="C955" s="6"/>
      <c r="D955" s="6"/>
    </row>
    <row r="956">
      <c r="A956" s="19"/>
      <c r="B956" s="19"/>
      <c r="C956" s="6"/>
      <c r="D956" s="6"/>
    </row>
    <row r="957">
      <c r="A957" s="19"/>
      <c r="B957" s="19"/>
      <c r="C957" s="6"/>
      <c r="D957" s="6"/>
    </row>
    <row r="958">
      <c r="A958" s="19"/>
      <c r="B958" s="19"/>
      <c r="C958" s="4"/>
      <c r="D958" s="6"/>
    </row>
    <row r="959">
      <c r="A959" s="19"/>
      <c r="B959" s="19"/>
      <c r="C959" s="6"/>
      <c r="D959" s="6"/>
    </row>
    <row r="960">
      <c r="A960" s="19"/>
      <c r="B960" s="19"/>
      <c r="C960" s="6"/>
      <c r="D960" s="6"/>
    </row>
    <row r="961">
      <c r="A961" s="19"/>
      <c r="B961" s="19"/>
      <c r="C961" s="6"/>
      <c r="D961" s="4"/>
    </row>
    <row r="962">
      <c r="A962" s="19"/>
      <c r="B962" s="19"/>
      <c r="C962" s="6"/>
      <c r="D962" s="6"/>
    </row>
    <row r="963">
      <c r="A963" s="19"/>
      <c r="B963" s="19"/>
      <c r="C963" s="6"/>
      <c r="D963" s="6"/>
    </row>
    <row r="964">
      <c r="A964" s="19"/>
      <c r="B964" s="19"/>
      <c r="C964" s="6"/>
      <c r="D964" s="6"/>
    </row>
    <row r="965">
      <c r="A965" s="19"/>
      <c r="B965" s="19"/>
      <c r="C965" s="6"/>
      <c r="D965" s="6"/>
    </row>
    <row r="966">
      <c r="A966" s="19"/>
      <c r="B966" s="19"/>
      <c r="C966" s="6"/>
      <c r="D966" s="6"/>
    </row>
    <row r="967">
      <c r="A967" s="19"/>
      <c r="B967" s="19"/>
      <c r="C967" s="6"/>
      <c r="D967" s="6"/>
    </row>
    <row r="968">
      <c r="A968" s="19"/>
      <c r="B968" s="19"/>
      <c r="C968" s="6"/>
      <c r="D968" s="6"/>
    </row>
    <row r="969">
      <c r="A969" s="19"/>
      <c r="B969" s="19"/>
      <c r="C969" s="6"/>
      <c r="D969" s="6"/>
    </row>
    <row r="970">
      <c r="A970" s="19"/>
      <c r="B970" s="19"/>
      <c r="C970" s="6"/>
      <c r="D970" s="6"/>
    </row>
    <row r="971">
      <c r="A971" s="19"/>
      <c r="B971" s="19"/>
      <c r="C971" s="6"/>
      <c r="D971" s="6"/>
    </row>
    <row r="972">
      <c r="A972" s="19"/>
      <c r="B972" s="19"/>
      <c r="C972" s="6"/>
      <c r="D972" s="6"/>
    </row>
    <row r="973">
      <c r="A973" s="19"/>
      <c r="B973" s="19"/>
      <c r="C973" s="6"/>
      <c r="D973" s="6"/>
    </row>
    <row r="974">
      <c r="A974" s="19"/>
      <c r="B974" s="19"/>
      <c r="C974" s="6"/>
      <c r="D974" s="6"/>
    </row>
    <row r="975">
      <c r="A975" s="19"/>
      <c r="B975" s="19"/>
      <c r="C975" s="6"/>
      <c r="D975" s="6"/>
    </row>
    <row r="976">
      <c r="A976" s="19"/>
      <c r="B976" s="19"/>
      <c r="C976" s="6"/>
      <c r="D976" s="6"/>
    </row>
    <row r="977">
      <c r="A977" s="19"/>
      <c r="B977" s="19"/>
      <c r="C977" s="6"/>
      <c r="D977" s="6"/>
    </row>
    <row r="978">
      <c r="A978" s="19"/>
      <c r="B978" s="19"/>
      <c r="C978" s="4"/>
      <c r="D978" s="6"/>
    </row>
    <row r="979">
      <c r="A979" s="19"/>
      <c r="B979" s="19"/>
      <c r="C979" s="6"/>
      <c r="D979" s="6"/>
    </row>
    <row r="980">
      <c r="A980" s="19"/>
      <c r="B980" s="19"/>
      <c r="C980" s="6"/>
      <c r="D980" s="6"/>
    </row>
    <row r="981">
      <c r="A981" s="19"/>
      <c r="B981" s="19"/>
      <c r="C981" s="6"/>
      <c r="D981" s="4"/>
    </row>
    <row r="982">
      <c r="A982" s="19"/>
      <c r="B982" s="19"/>
      <c r="C982" s="6"/>
      <c r="D982" s="6"/>
    </row>
    <row r="983">
      <c r="A983" s="19"/>
      <c r="B983" s="19"/>
      <c r="C983" s="6"/>
      <c r="D983" s="6"/>
    </row>
    <row r="984">
      <c r="A984" s="19"/>
      <c r="B984" s="19"/>
      <c r="C984" s="6"/>
      <c r="D984" s="6"/>
    </row>
    <row r="985">
      <c r="A985" s="19"/>
      <c r="B985" s="19"/>
      <c r="C985" s="6"/>
      <c r="D985" s="6"/>
    </row>
    <row r="986">
      <c r="A986" s="19"/>
      <c r="B986" s="19"/>
      <c r="C986" s="6"/>
      <c r="D986" s="6"/>
    </row>
    <row r="987">
      <c r="A987" s="19"/>
      <c r="B987" s="19"/>
      <c r="C987" s="6"/>
      <c r="D987" s="6"/>
    </row>
    <row r="988">
      <c r="A988" s="19"/>
      <c r="B988" s="19"/>
      <c r="C988" s="6"/>
      <c r="D988" s="6"/>
    </row>
    <row r="989">
      <c r="A989" s="19"/>
      <c r="B989" s="19"/>
      <c r="C989" s="6"/>
      <c r="D989" s="6"/>
    </row>
    <row r="990">
      <c r="A990" s="19"/>
      <c r="B990" s="19"/>
      <c r="C990" s="6"/>
      <c r="D990" s="6"/>
    </row>
    <row r="991">
      <c r="A991" s="19"/>
      <c r="B991" s="19"/>
      <c r="C991" s="6"/>
      <c r="D991" s="6"/>
    </row>
    <row r="992">
      <c r="A992" s="19"/>
      <c r="B992" s="19"/>
      <c r="C992" s="6"/>
      <c r="D992" s="6"/>
    </row>
    <row r="993">
      <c r="A993" s="19"/>
      <c r="B993" s="19"/>
      <c r="C993" s="6"/>
      <c r="D993" s="6"/>
    </row>
    <row r="994">
      <c r="A994" s="19"/>
      <c r="B994" s="19"/>
      <c r="C994" s="6"/>
      <c r="D994" s="6"/>
    </row>
    <row r="995">
      <c r="A995" s="19"/>
      <c r="B995" s="19"/>
      <c r="C995" s="6"/>
      <c r="D995" s="6"/>
    </row>
    <row r="996">
      <c r="A996" s="19"/>
      <c r="B996" s="19"/>
      <c r="C996" s="6"/>
      <c r="D996" s="6"/>
    </row>
    <row r="997">
      <c r="A997" s="19"/>
      <c r="B997" s="19"/>
      <c r="C997" s="6"/>
      <c r="D997" s="6"/>
    </row>
    <row r="998">
      <c r="D998" s="6"/>
    </row>
    <row r="999">
      <c r="D999" s="6"/>
    </row>
    <row r="1000">
      <c r="D1000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0">
        <v>44564.0</v>
      </c>
      <c r="B1" s="21">
        <v>61.240002</v>
      </c>
      <c r="C1" s="21">
        <v>63.599998</v>
      </c>
      <c r="D1" s="21">
        <v>61.209999</v>
      </c>
      <c r="E1" s="21">
        <v>63.540001</v>
      </c>
      <c r="F1" s="21">
        <v>61.115536</v>
      </c>
      <c r="G1" s="21">
        <v>2.42824E7</v>
      </c>
      <c r="H1" s="1">
        <f t="shared" ref="H1:H251" si="1">WEEKDAY(A1)</f>
        <v>2</v>
      </c>
      <c r="I1" s="1">
        <f t="shared" ref="I1:I45" si="2">(E1-$L$4)^2</f>
        <v>776.043331</v>
      </c>
    </row>
    <row r="2" ht="15.75" customHeight="1">
      <c r="A2" s="20">
        <v>44571.0</v>
      </c>
      <c r="B2" s="21">
        <v>68.970001</v>
      </c>
      <c r="C2" s="21">
        <v>69.169998</v>
      </c>
      <c r="D2" s="21">
        <v>67.949997</v>
      </c>
      <c r="E2" s="21">
        <v>68.470001</v>
      </c>
      <c r="F2" s="21">
        <v>65.85743</v>
      </c>
      <c r="G2" s="21">
        <v>2.27603E7</v>
      </c>
      <c r="H2" s="1">
        <f t="shared" si="1"/>
        <v>2</v>
      </c>
      <c r="I2" s="1">
        <f t="shared" si="2"/>
        <v>525.6727457</v>
      </c>
      <c r="J2" s="22"/>
      <c r="K2" s="23" t="s">
        <v>14</v>
      </c>
      <c r="L2" s="23" t="s">
        <v>15</v>
      </c>
      <c r="M2" s="23" t="s">
        <v>16</v>
      </c>
    </row>
    <row r="3" ht="15.75" customHeight="1">
      <c r="A3" s="20">
        <v>44585.0</v>
      </c>
      <c r="B3" s="21">
        <v>70.879997</v>
      </c>
      <c r="C3" s="21">
        <v>73.080002</v>
      </c>
      <c r="D3" s="21">
        <v>69.809998</v>
      </c>
      <c r="E3" s="21">
        <v>72.790001</v>
      </c>
      <c r="F3" s="21">
        <v>70.012596</v>
      </c>
      <c r="G3" s="21">
        <v>4.1507E7</v>
      </c>
      <c r="H3" s="1">
        <f t="shared" si="1"/>
        <v>2</v>
      </c>
      <c r="I3" s="1">
        <f t="shared" si="2"/>
        <v>346.2410766</v>
      </c>
      <c r="J3" s="1"/>
      <c r="K3" s="8">
        <v>1.0</v>
      </c>
      <c r="L3" s="8" t="s">
        <v>17</v>
      </c>
      <c r="M3" s="10"/>
    </row>
    <row r="4" ht="15.75" customHeight="1">
      <c r="A4" s="20">
        <v>44592.0</v>
      </c>
      <c r="B4" s="21">
        <v>74.970001</v>
      </c>
      <c r="C4" s="21">
        <v>76.419998</v>
      </c>
      <c r="D4" s="21">
        <v>74.269997</v>
      </c>
      <c r="E4" s="21">
        <v>75.959999</v>
      </c>
      <c r="F4" s="21">
        <v>73.061638</v>
      </c>
      <c r="G4" s="21">
        <v>3.60855E7</v>
      </c>
      <c r="H4" s="1">
        <f t="shared" si="1"/>
        <v>2</v>
      </c>
      <c r="I4" s="1">
        <f t="shared" si="2"/>
        <v>238.3181442</v>
      </c>
      <c r="J4" s="1"/>
      <c r="K4" s="8">
        <v>2.0</v>
      </c>
      <c r="L4" s="8">
        <f>AVERAGE(E1:E45)</f>
        <v>91.39755529</v>
      </c>
      <c r="M4" s="8">
        <f t="shared" ref="M4:M8" si="3">(L4-$L$11)^2</f>
        <v>0.06165560401</v>
      </c>
    </row>
    <row r="5" ht="15.75" customHeight="1">
      <c r="A5" s="20">
        <v>44599.0</v>
      </c>
      <c r="B5" s="21">
        <v>81.139999</v>
      </c>
      <c r="C5" s="21">
        <v>83.080002</v>
      </c>
      <c r="D5" s="21">
        <v>80.639999</v>
      </c>
      <c r="E5" s="21">
        <v>82.389999</v>
      </c>
      <c r="F5" s="21">
        <v>79.246292</v>
      </c>
      <c r="G5" s="21">
        <v>3.49492E7</v>
      </c>
      <c r="H5" s="1">
        <f t="shared" si="1"/>
        <v>2</v>
      </c>
      <c r="I5" s="1">
        <f t="shared" si="2"/>
        <v>81.1360703</v>
      </c>
      <c r="J5" s="1"/>
      <c r="K5" s="8">
        <v>3.0</v>
      </c>
      <c r="L5" s="8">
        <f>AVERAGE(E46:E97)</f>
        <v>91.62653831</v>
      </c>
      <c r="M5" s="8">
        <f t="shared" si="3"/>
        <v>0.0003733569316</v>
      </c>
    </row>
    <row r="6" ht="15.75" customHeight="1">
      <c r="A6" s="20">
        <v>44606.0</v>
      </c>
      <c r="B6" s="21">
        <v>79.580002</v>
      </c>
      <c r="C6" s="21">
        <v>79.839996</v>
      </c>
      <c r="D6" s="21">
        <v>77.050003</v>
      </c>
      <c r="E6" s="21">
        <v>78.980003</v>
      </c>
      <c r="F6" s="21">
        <v>76.808563</v>
      </c>
      <c r="G6" s="21">
        <v>3.46528E7</v>
      </c>
      <c r="H6" s="1">
        <f t="shared" si="1"/>
        <v>2</v>
      </c>
      <c r="I6" s="1">
        <f t="shared" si="2"/>
        <v>154.1956048</v>
      </c>
      <c r="J6" s="1"/>
      <c r="K6" s="8">
        <v>4.0</v>
      </c>
      <c r="L6" s="8">
        <f>AVERAGE(E98:E149)</f>
        <v>91.72423015</v>
      </c>
      <c r="M6" s="8">
        <f t="shared" si="3"/>
        <v>0.006141762831</v>
      </c>
    </row>
    <row r="7" ht="15.75" customHeight="1">
      <c r="A7" s="20">
        <v>44620.0</v>
      </c>
      <c r="B7" s="21">
        <v>76.510002</v>
      </c>
      <c r="C7" s="21">
        <v>78.93</v>
      </c>
      <c r="D7" s="21">
        <v>76.199997</v>
      </c>
      <c r="E7" s="21">
        <v>78.419998</v>
      </c>
      <c r="F7" s="21">
        <v>76.263962</v>
      </c>
      <c r="G7" s="21">
        <v>3.22046E7</v>
      </c>
      <c r="H7" s="1">
        <f t="shared" si="1"/>
        <v>2</v>
      </c>
      <c r="I7" s="1">
        <f t="shared" si="2"/>
        <v>168.4169932</v>
      </c>
      <c r="J7" s="1"/>
      <c r="K7" s="8">
        <v>5.0</v>
      </c>
      <c r="L7" s="8">
        <f>AVERAGE(E150:E200)</f>
        <v>91.30137253</v>
      </c>
      <c r="M7" s="8">
        <f t="shared" si="3"/>
        <v>0.1186721369</v>
      </c>
    </row>
    <row r="8" ht="15.75" customHeight="1">
      <c r="A8" s="20">
        <v>44627.0</v>
      </c>
      <c r="B8" s="21">
        <v>84.919998</v>
      </c>
      <c r="C8" s="21">
        <v>87.230003</v>
      </c>
      <c r="D8" s="21">
        <v>83.900002</v>
      </c>
      <c r="E8" s="21">
        <v>87.120003</v>
      </c>
      <c r="F8" s="21">
        <v>84.72477</v>
      </c>
      <c r="G8" s="21">
        <v>5.52079E7</v>
      </c>
      <c r="H8" s="1">
        <f t="shared" si="1"/>
        <v>2</v>
      </c>
      <c r="I8" s="1">
        <f t="shared" si="2"/>
        <v>18.29745358</v>
      </c>
      <c r="J8" s="1"/>
      <c r="K8" s="8">
        <v>6.0</v>
      </c>
      <c r="L8" s="8">
        <f>AVERAGE(E201:E251)</f>
        <v>92.17960749</v>
      </c>
      <c r="M8" s="8">
        <f t="shared" si="3"/>
        <v>0.2848855784</v>
      </c>
    </row>
    <row r="9" ht="15.75" customHeight="1">
      <c r="A9" s="20">
        <v>44634.0</v>
      </c>
      <c r="B9" s="21">
        <v>83.059998</v>
      </c>
      <c r="C9" s="21">
        <v>83.449997</v>
      </c>
      <c r="D9" s="21">
        <v>80.5</v>
      </c>
      <c r="E9" s="21">
        <v>81.879997</v>
      </c>
      <c r="F9" s="21">
        <v>79.628822</v>
      </c>
      <c r="G9" s="21">
        <v>3.74626E7</v>
      </c>
      <c r="H9" s="1">
        <f t="shared" si="1"/>
        <v>2</v>
      </c>
      <c r="I9" s="1">
        <f t="shared" si="2"/>
        <v>90.58391578</v>
      </c>
      <c r="J9" s="1"/>
      <c r="K9" s="8">
        <v>7.0</v>
      </c>
      <c r="L9" s="8" t="s">
        <v>17</v>
      </c>
      <c r="M9" s="10"/>
    </row>
    <row r="10" ht="15.75" customHeight="1">
      <c r="A10" s="20">
        <v>44641.0</v>
      </c>
      <c r="B10" s="21">
        <v>80.120003</v>
      </c>
      <c r="C10" s="21">
        <v>82.519997</v>
      </c>
      <c r="D10" s="21">
        <v>79.739998</v>
      </c>
      <c r="E10" s="21">
        <v>82.199997</v>
      </c>
      <c r="F10" s="21">
        <v>79.940025</v>
      </c>
      <c r="G10" s="21">
        <v>3.30893E7</v>
      </c>
      <c r="H10" s="1">
        <f t="shared" si="1"/>
        <v>2</v>
      </c>
      <c r="I10" s="1">
        <f t="shared" si="2"/>
        <v>84.59507848</v>
      </c>
      <c r="K10" s="10"/>
      <c r="L10" s="10"/>
      <c r="M10" s="10"/>
    </row>
    <row r="11" ht="15.75" customHeight="1">
      <c r="A11" s="20">
        <v>44648.0</v>
      </c>
      <c r="B11" s="21">
        <v>83.169998</v>
      </c>
      <c r="C11" s="21">
        <v>83.309998</v>
      </c>
      <c r="D11" s="21">
        <v>82.019997</v>
      </c>
      <c r="E11" s="21">
        <v>82.809998</v>
      </c>
      <c r="F11" s="21">
        <v>80.533264</v>
      </c>
      <c r="G11" s="21">
        <v>2.15524E7</v>
      </c>
      <c r="H11" s="1">
        <f t="shared" si="1"/>
        <v>2</v>
      </c>
      <c r="I11" s="1">
        <f t="shared" si="2"/>
        <v>73.74614019</v>
      </c>
      <c r="J11" s="22"/>
      <c r="K11" s="23" t="s">
        <v>18</v>
      </c>
      <c r="L11" s="8">
        <f>AVERAGE(L4:L8)</f>
        <v>91.64586075</v>
      </c>
      <c r="M11" s="10"/>
    </row>
    <row r="12" ht="15.75" customHeight="1">
      <c r="A12" s="20">
        <v>44655.0</v>
      </c>
      <c r="B12" s="21">
        <v>83.559998</v>
      </c>
      <c r="C12" s="21">
        <v>83.660004</v>
      </c>
      <c r="D12" s="21">
        <v>82.050003</v>
      </c>
      <c r="E12" s="21">
        <v>83.160004</v>
      </c>
      <c r="F12" s="21">
        <v>80.87365</v>
      </c>
      <c r="G12" s="21">
        <v>2.08694E7</v>
      </c>
      <c r="H12" s="1">
        <f t="shared" si="1"/>
        <v>2</v>
      </c>
      <c r="I12" s="1">
        <f t="shared" si="2"/>
        <v>67.85725124</v>
      </c>
    </row>
    <row r="13" ht="15.75" customHeight="1">
      <c r="A13" s="20">
        <v>44662.0</v>
      </c>
      <c r="B13" s="21">
        <v>85.779999</v>
      </c>
      <c r="C13" s="21">
        <v>85.93</v>
      </c>
      <c r="D13" s="21">
        <v>83.5</v>
      </c>
      <c r="E13" s="21">
        <v>83.849998</v>
      </c>
      <c r="F13" s="21">
        <v>81.54467</v>
      </c>
      <c r="G13" s="21">
        <v>2.18001E7</v>
      </c>
      <c r="H13" s="1">
        <f t="shared" si="1"/>
        <v>2</v>
      </c>
      <c r="I13" s="1">
        <f t="shared" si="2"/>
        <v>56.96562103</v>
      </c>
      <c r="K13" s="10"/>
      <c r="L13" s="10"/>
      <c r="M13" s="23" t="s">
        <v>19</v>
      </c>
      <c r="N13" s="23" t="s">
        <v>20</v>
      </c>
    </row>
    <row r="14" ht="15.75" customHeight="1">
      <c r="A14" s="20">
        <v>44669.0</v>
      </c>
      <c r="B14" s="21">
        <v>88.5</v>
      </c>
      <c r="C14" s="21">
        <v>88.889999</v>
      </c>
      <c r="D14" s="21">
        <v>87.75</v>
      </c>
      <c r="E14" s="21">
        <v>88.550003</v>
      </c>
      <c r="F14" s="21">
        <v>86.115463</v>
      </c>
      <c r="G14" s="21">
        <v>1.90323E7</v>
      </c>
      <c r="H14" s="1">
        <f t="shared" si="1"/>
        <v>2</v>
      </c>
      <c r="I14" s="1">
        <f t="shared" si="2"/>
        <v>8.108554038</v>
      </c>
      <c r="J14" s="22"/>
      <c r="K14" s="23" t="s">
        <v>21</v>
      </c>
      <c r="L14" s="8">
        <f>SUM(M4:M8)</f>
        <v>0.471728439</v>
      </c>
      <c r="M14" s="8">
        <f>M21-1</f>
        <v>4</v>
      </c>
      <c r="N14" s="8">
        <f t="shared" ref="N14:N15" si="4">L14/M14</f>
        <v>0.1179321098</v>
      </c>
    </row>
    <row r="15" ht="15.75" customHeight="1">
      <c r="A15" s="20">
        <v>44676.0</v>
      </c>
      <c r="B15" s="21">
        <v>82.370003</v>
      </c>
      <c r="C15" s="21">
        <v>82.660004</v>
      </c>
      <c r="D15" s="21">
        <v>79.290001</v>
      </c>
      <c r="E15" s="21">
        <v>82.260002</v>
      </c>
      <c r="F15" s="21">
        <v>79.99839</v>
      </c>
      <c r="G15" s="21">
        <v>3.76983E7</v>
      </c>
      <c r="H15" s="1">
        <f t="shared" si="1"/>
        <v>2</v>
      </c>
      <c r="I15" s="1">
        <f t="shared" si="2"/>
        <v>83.49488011</v>
      </c>
      <c r="J15" s="22"/>
      <c r="K15" s="23" t="s">
        <v>22</v>
      </c>
      <c r="L15" s="8">
        <f>SUM(I1:I251)</f>
        <v>33902.83229</v>
      </c>
      <c r="M15" s="8">
        <f>M20-M21</f>
        <v>246</v>
      </c>
      <c r="N15" s="8">
        <f t="shared" si="4"/>
        <v>137.8163914</v>
      </c>
    </row>
    <row r="16" ht="15.75" customHeight="1">
      <c r="A16" s="20">
        <v>44683.0</v>
      </c>
      <c r="B16" s="21">
        <v>85.010002</v>
      </c>
      <c r="C16" s="21">
        <v>87.040001</v>
      </c>
      <c r="D16" s="21">
        <v>84.629997</v>
      </c>
      <c r="E16" s="21">
        <v>86.410004</v>
      </c>
      <c r="F16" s="21">
        <v>84.034294</v>
      </c>
      <c r="G16" s="21">
        <v>3.63352E7</v>
      </c>
      <c r="H16" s="1">
        <f t="shared" si="1"/>
        <v>2</v>
      </c>
      <c r="I16" s="1">
        <f t="shared" si="2"/>
        <v>24.87566786</v>
      </c>
      <c r="J16" s="22"/>
      <c r="K16" s="23" t="s">
        <v>23</v>
      </c>
      <c r="L16" s="8">
        <f>SUM(L14:L15)</f>
        <v>33903.30401</v>
      </c>
      <c r="M16" s="8">
        <f>M20-1</f>
        <v>250</v>
      </c>
      <c r="N16" s="10"/>
    </row>
    <row r="17" ht="15.75" customHeight="1">
      <c r="A17" s="20">
        <v>44690.0</v>
      </c>
      <c r="B17" s="21">
        <v>89.440002</v>
      </c>
      <c r="C17" s="21">
        <v>89.559998</v>
      </c>
      <c r="D17" s="21">
        <v>84.019997</v>
      </c>
      <c r="E17" s="21">
        <v>84.459999</v>
      </c>
      <c r="F17" s="21">
        <v>82.137901</v>
      </c>
      <c r="G17" s="21">
        <v>4.58516E7</v>
      </c>
      <c r="H17" s="1">
        <f t="shared" si="1"/>
        <v>2</v>
      </c>
      <c r="I17" s="1">
        <f t="shared" si="2"/>
        <v>48.12968726</v>
      </c>
      <c r="K17" s="10"/>
      <c r="L17" s="10"/>
      <c r="M17" s="10"/>
      <c r="N17" s="10"/>
    </row>
    <row r="18" ht="15.75" customHeight="1">
      <c r="A18" s="20">
        <v>44697.0</v>
      </c>
      <c r="B18" s="21">
        <v>88.980003</v>
      </c>
      <c r="C18" s="21">
        <v>91.980003</v>
      </c>
      <c r="D18" s="21">
        <v>88.970001</v>
      </c>
      <c r="E18" s="21">
        <v>90.949997</v>
      </c>
      <c r="F18" s="21">
        <v>89.355476</v>
      </c>
      <c r="G18" s="21">
        <v>2.61012E7</v>
      </c>
      <c r="H18" s="1">
        <f t="shared" si="1"/>
        <v>2</v>
      </c>
      <c r="I18" s="1">
        <f t="shared" si="2"/>
        <v>0.200308422</v>
      </c>
      <c r="K18" s="10"/>
      <c r="L18" s="10"/>
      <c r="M18" s="23" t="s">
        <v>24</v>
      </c>
      <c r="N18" s="8">
        <f>N14/N15</f>
        <v>0.0008557190372</v>
      </c>
    </row>
    <row r="19" ht="15.75" customHeight="1">
      <c r="A19" s="20">
        <v>44704.0</v>
      </c>
      <c r="B19" s="21">
        <v>92.660004</v>
      </c>
      <c r="C19" s="21">
        <v>94.769997</v>
      </c>
      <c r="D19" s="21">
        <v>92.550003</v>
      </c>
      <c r="E19" s="21">
        <v>93.889999</v>
      </c>
      <c r="F19" s="21">
        <v>92.243935</v>
      </c>
      <c r="G19" s="21">
        <v>2.72393E7</v>
      </c>
      <c r="H19" s="1">
        <f t="shared" si="1"/>
        <v>2</v>
      </c>
      <c r="I19" s="1">
        <f t="shared" si="2"/>
        <v>6.212275653</v>
      </c>
      <c r="K19" s="10"/>
      <c r="L19" s="10"/>
      <c r="M19" s="23" t="s">
        <v>25</v>
      </c>
      <c r="N19" s="8">
        <f>_xlfn.F.INV.RT(0.05, 4, 246)</f>
        <v>2.408338503</v>
      </c>
    </row>
    <row r="20" ht="15.75" customHeight="1">
      <c r="A20" s="20">
        <v>44718.0</v>
      </c>
      <c r="B20" s="21">
        <v>99.18</v>
      </c>
      <c r="C20" s="21">
        <v>99.779999</v>
      </c>
      <c r="D20" s="21">
        <v>98.669998</v>
      </c>
      <c r="E20" s="21">
        <v>98.839996</v>
      </c>
      <c r="F20" s="21">
        <v>97.107147</v>
      </c>
      <c r="G20" s="21">
        <v>2.06821E7</v>
      </c>
      <c r="H20" s="1">
        <f t="shared" si="1"/>
        <v>2</v>
      </c>
      <c r="I20" s="1">
        <f t="shared" si="2"/>
        <v>55.38992374</v>
      </c>
      <c r="K20" s="10"/>
      <c r="L20" s="23" t="s">
        <v>26</v>
      </c>
      <c r="M20" s="8">
        <v>251.0</v>
      </c>
      <c r="N20" s="10"/>
    </row>
    <row r="21" ht="15.75" customHeight="1">
      <c r="A21" s="20">
        <v>44725.0</v>
      </c>
      <c r="B21" s="21">
        <v>97.519997</v>
      </c>
      <c r="C21" s="21">
        <v>97.769997</v>
      </c>
      <c r="D21" s="21">
        <v>93.919998</v>
      </c>
      <c r="E21" s="21">
        <v>95.849998</v>
      </c>
      <c r="F21" s="21">
        <v>94.169571</v>
      </c>
      <c r="G21" s="21">
        <v>3.3421E7</v>
      </c>
      <c r="H21" s="1">
        <f t="shared" si="1"/>
        <v>2</v>
      </c>
      <c r="I21" s="1">
        <f t="shared" si="2"/>
        <v>19.8242461</v>
      </c>
      <c r="K21" s="10"/>
      <c r="L21" s="23" t="s">
        <v>27</v>
      </c>
      <c r="M21" s="8">
        <v>5.0</v>
      </c>
      <c r="N21" s="10"/>
    </row>
    <row r="22" ht="15.75" customHeight="1">
      <c r="A22" s="20">
        <v>44739.0</v>
      </c>
      <c r="B22" s="21">
        <v>87.809998</v>
      </c>
      <c r="C22" s="21">
        <v>90.040001</v>
      </c>
      <c r="D22" s="21">
        <v>87.669998</v>
      </c>
      <c r="E22" s="21">
        <v>89.029999</v>
      </c>
      <c r="F22" s="21">
        <v>87.469139</v>
      </c>
      <c r="G22" s="21">
        <v>2.54787E7</v>
      </c>
      <c r="H22" s="1">
        <f t="shared" si="1"/>
        <v>2</v>
      </c>
      <c r="I22" s="1">
        <f t="shared" si="2"/>
        <v>5.605322781</v>
      </c>
    </row>
    <row r="23" ht="15.75" customHeight="1">
      <c r="A23" s="20">
        <v>44753.0</v>
      </c>
      <c r="B23" s="21">
        <v>85.169998</v>
      </c>
      <c r="C23" s="21">
        <v>86.120003</v>
      </c>
      <c r="D23" s="21">
        <v>84.360001</v>
      </c>
      <c r="E23" s="21">
        <v>85.639999</v>
      </c>
      <c r="F23" s="21">
        <v>84.138573</v>
      </c>
      <c r="G23" s="21">
        <v>1.56038E7</v>
      </c>
      <c r="H23" s="1">
        <f t="shared" si="1"/>
        <v>2</v>
      </c>
      <c r="I23" s="1">
        <f t="shared" si="2"/>
        <v>33.14945442</v>
      </c>
      <c r="M23" s="1"/>
    </row>
    <row r="24" ht="15.75" customHeight="1">
      <c r="A24" s="20">
        <v>44760.0</v>
      </c>
      <c r="B24" s="21">
        <v>86.580002</v>
      </c>
      <c r="C24" s="21">
        <v>87.940002</v>
      </c>
      <c r="D24" s="21">
        <v>85.75</v>
      </c>
      <c r="E24" s="21">
        <v>86.099998</v>
      </c>
      <c r="F24" s="21">
        <v>84.590508</v>
      </c>
      <c r="G24" s="21">
        <v>1.93958E7</v>
      </c>
      <c r="H24" s="1">
        <f t="shared" si="1"/>
        <v>2</v>
      </c>
      <c r="I24" s="1">
        <f t="shared" si="2"/>
        <v>28.06411323</v>
      </c>
    </row>
    <row r="25" ht="15.75" customHeight="1">
      <c r="A25" s="20">
        <v>44767.0</v>
      </c>
      <c r="B25" s="21">
        <v>88.160004</v>
      </c>
      <c r="C25" s="21">
        <v>90.129997</v>
      </c>
      <c r="D25" s="21">
        <v>87.419998</v>
      </c>
      <c r="E25" s="21">
        <v>89.980003</v>
      </c>
      <c r="F25" s="21">
        <v>88.402489</v>
      </c>
      <c r="G25" s="21">
        <v>1.75364E7</v>
      </c>
      <c r="H25" s="1">
        <f t="shared" si="1"/>
        <v>2</v>
      </c>
      <c r="I25" s="1">
        <f t="shared" si="2"/>
        <v>2.009454492</v>
      </c>
    </row>
    <row r="26" ht="15.75" customHeight="1">
      <c r="A26" s="20">
        <v>44774.0</v>
      </c>
      <c r="B26" s="21">
        <v>94.790001</v>
      </c>
      <c r="C26" s="21">
        <v>95.349998</v>
      </c>
      <c r="D26" s="21">
        <v>93.230003</v>
      </c>
      <c r="E26" s="21">
        <v>94.480003</v>
      </c>
      <c r="F26" s="21">
        <v>92.823601</v>
      </c>
      <c r="G26" s="21">
        <v>2.07932E7</v>
      </c>
      <c r="H26" s="1">
        <f t="shared" si="1"/>
        <v>2</v>
      </c>
      <c r="I26" s="1">
        <f t="shared" si="2"/>
        <v>9.501483892</v>
      </c>
    </row>
    <row r="27" ht="15.75" customHeight="1">
      <c r="A27" s="20">
        <v>44781.0</v>
      </c>
      <c r="B27" s="21">
        <v>88.610001</v>
      </c>
      <c r="C27" s="21">
        <v>89.599998</v>
      </c>
      <c r="D27" s="21">
        <v>88.220001</v>
      </c>
      <c r="E27" s="21">
        <v>88.949997</v>
      </c>
      <c r="F27" s="21">
        <v>87.390541</v>
      </c>
      <c r="G27" s="21">
        <v>1.44585E7</v>
      </c>
      <c r="H27" s="1">
        <f t="shared" si="1"/>
        <v>2</v>
      </c>
      <c r="I27" s="1">
        <f t="shared" si="2"/>
        <v>5.990541578</v>
      </c>
      <c r="M27" s="1" t="s">
        <v>28</v>
      </c>
      <c r="N27" s="1">
        <v>0.005</v>
      </c>
    </row>
    <row r="28" ht="15.75" customHeight="1">
      <c r="A28" s="20">
        <v>44788.0</v>
      </c>
      <c r="B28" s="21">
        <v>90.529999</v>
      </c>
      <c r="C28" s="21">
        <v>92.730003</v>
      </c>
      <c r="D28" s="21">
        <v>89.660004</v>
      </c>
      <c r="E28" s="21">
        <v>92.32</v>
      </c>
      <c r="F28" s="21">
        <v>91.582733</v>
      </c>
      <c r="G28" s="21">
        <v>2.07552E7</v>
      </c>
      <c r="H28" s="1">
        <f t="shared" si="1"/>
        <v>2</v>
      </c>
      <c r="I28" s="1">
        <f t="shared" si="2"/>
        <v>0.8509042451</v>
      </c>
      <c r="M28" s="1" t="s">
        <v>29</v>
      </c>
      <c r="N28" s="1">
        <f t="shared" ref="N28:N29" si="5">M14</f>
        <v>4</v>
      </c>
    </row>
    <row r="29" ht="15.75" customHeight="1">
      <c r="A29" s="20">
        <v>44795.0</v>
      </c>
      <c r="B29" s="21">
        <v>93.419998</v>
      </c>
      <c r="C29" s="21">
        <v>94.489998</v>
      </c>
      <c r="D29" s="21">
        <v>91.860001</v>
      </c>
      <c r="E29" s="21">
        <v>94.010002</v>
      </c>
      <c r="F29" s="21">
        <v>93.259239</v>
      </c>
      <c r="G29" s="21">
        <v>1.60199E7</v>
      </c>
      <c r="H29" s="1">
        <f t="shared" si="1"/>
        <v>2</v>
      </c>
      <c r="I29" s="1">
        <f t="shared" si="2"/>
        <v>6.824877818</v>
      </c>
      <c r="M29" s="1" t="s">
        <v>30</v>
      </c>
      <c r="N29" s="1">
        <f t="shared" si="5"/>
        <v>246</v>
      </c>
    </row>
    <row r="30" ht="15.75" customHeight="1">
      <c r="A30" s="20">
        <v>44802.0</v>
      </c>
      <c r="B30" s="21">
        <v>98.18</v>
      </c>
      <c r="C30" s="21">
        <v>101.559998</v>
      </c>
      <c r="D30" s="21">
        <v>98.139999</v>
      </c>
      <c r="E30" s="21">
        <v>100.120003</v>
      </c>
      <c r="F30" s="21">
        <v>99.32045</v>
      </c>
      <c r="G30" s="21">
        <v>2.30592E7</v>
      </c>
      <c r="H30" s="1">
        <f t="shared" si="1"/>
        <v>2</v>
      </c>
      <c r="I30" s="1">
        <f t="shared" si="2"/>
        <v>76.08109407</v>
      </c>
      <c r="M30" s="1" t="s">
        <v>31</v>
      </c>
      <c r="N30" s="1">
        <f>(3.964+3.868)/2</f>
        <v>3.916</v>
      </c>
    </row>
    <row r="31" ht="15.75" customHeight="1">
      <c r="A31" s="20">
        <v>44816.0</v>
      </c>
      <c r="B31" s="21">
        <v>97.650002</v>
      </c>
      <c r="C31" s="21">
        <v>99.190002</v>
      </c>
      <c r="D31" s="21">
        <v>96.879997</v>
      </c>
      <c r="E31" s="21">
        <v>97.610001</v>
      </c>
      <c r="F31" s="21">
        <v>96.83049</v>
      </c>
      <c r="G31" s="21">
        <v>1.61189E7</v>
      </c>
      <c r="H31" s="1">
        <f t="shared" si="1"/>
        <v>2</v>
      </c>
      <c r="I31" s="1">
        <f t="shared" si="2"/>
        <v>38.59448171</v>
      </c>
    </row>
    <row r="32" ht="15.75" customHeight="1">
      <c r="A32" s="20">
        <v>44823.0</v>
      </c>
      <c r="B32" s="21">
        <v>91.010002</v>
      </c>
      <c r="C32" s="21">
        <v>93.489998</v>
      </c>
      <c r="D32" s="21">
        <v>91.0</v>
      </c>
      <c r="E32" s="21">
        <v>93.199997</v>
      </c>
      <c r="F32" s="21">
        <v>92.455704</v>
      </c>
      <c r="G32" s="21">
        <v>1.53421E7</v>
      </c>
      <c r="H32" s="1">
        <f t="shared" si="1"/>
        <v>2</v>
      </c>
      <c r="I32" s="1">
        <f t="shared" si="2"/>
        <v>3.248796122</v>
      </c>
    </row>
    <row r="33" ht="15.75" customHeight="1">
      <c r="A33" s="20">
        <v>44830.0</v>
      </c>
      <c r="B33" s="21">
        <v>84.900002</v>
      </c>
      <c r="C33" s="21">
        <v>86.220001</v>
      </c>
      <c r="D33" s="21">
        <v>83.889999</v>
      </c>
      <c r="E33" s="21">
        <v>83.980003</v>
      </c>
      <c r="F33" s="21">
        <v>83.309341</v>
      </c>
      <c r="G33" s="21">
        <v>2.20434E7</v>
      </c>
      <c r="H33" s="1">
        <f t="shared" si="1"/>
        <v>2</v>
      </c>
      <c r="I33" s="1">
        <f t="shared" si="2"/>
        <v>55.02008196</v>
      </c>
    </row>
    <row r="34" ht="15.75" customHeight="1">
      <c r="A34" s="20">
        <v>44837.0</v>
      </c>
      <c r="B34" s="21">
        <v>90.040001</v>
      </c>
      <c r="C34" s="21">
        <v>92.360001</v>
      </c>
      <c r="D34" s="21">
        <v>89.720001</v>
      </c>
      <c r="E34" s="21">
        <v>91.919998</v>
      </c>
      <c r="F34" s="21">
        <v>91.185928</v>
      </c>
      <c r="G34" s="21">
        <v>2.38813E7</v>
      </c>
      <c r="H34" s="1">
        <f t="shared" si="1"/>
        <v>2</v>
      </c>
      <c r="I34" s="1">
        <f t="shared" si="2"/>
        <v>0.2729463864</v>
      </c>
    </row>
    <row r="35" ht="15.75" customHeight="1">
      <c r="A35" s="20">
        <v>44844.0</v>
      </c>
      <c r="B35" s="21">
        <v>101.489998</v>
      </c>
      <c r="C35" s="21">
        <v>102.029999</v>
      </c>
      <c r="D35" s="21">
        <v>98.720001</v>
      </c>
      <c r="E35" s="21">
        <v>98.839996</v>
      </c>
      <c r="F35" s="21">
        <v>98.050667</v>
      </c>
      <c r="G35" s="21">
        <v>1.67861E7</v>
      </c>
      <c r="H35" s="1">
        <f t="shared" si="1"/>
        <v>2</v>
      </c>
      <c r="I35" s="1">
        <f t="shared" si="2"/>
        <v>55.38992374</v>
      </c>
    </row>
    <row r="36" ht="15.75" customHeight="1">
      <c r="A36" s="20">
        <v>44851.0</v>
      </c>
      <c r="B36" s="21">
        <v>101.07</v>
      </c>
      <c r="C36" s="21">
        <v>101.970001</v>
      </c>
      <c r="D36" s="21">
        <v>100.5</v>
      </c>
      <c r="E36" s="21">
        <v>100.620003</v>
      </c>
      <c r="F36" s="21">
        <v>99.81646</v>
      </c>
      <c r="G36" s="21">
        <v>1.42832E7</v>
      </c>
      <c r="H36" s="1">
        <f t="shared" si="1"/>
        <v>2</v>
      </c>
      <c r="I36" s="1">
        <f t="shared" si="2"/>
        <v>85.05354178</v>
      </c>
    </row>
    <row r="37" ht="15.75" customHeight="1">
      <c r="A37" s="20">
        <v>44858.0</v>
      </c>
      <c r="B37" s="21">
        <v>105.660004</v>
      </c>
      <c r="C37" s="21">
        <v>107.68</v>
      </c>
      <c r="D37" s="21">
        <v>105.120003</v>
      </c>
      <c r="E37" s="21">
        <v>106.599998</v>
      </c>
      <c r="F37" s="21">
        <v>105.748695</v>
      </c>
      <c r="G37" s="21">
        <v>1.70242E7</v>
      </c>
      <c r="H37" s="1">
        <f t="shared" si="1"/>
        <v>2</v>
      </c>
      <c r="I37" s="1">
        <f t="shared" si="2"/>
        <v>231.1142644</v>
      </c>
    </row>
    <row r="38" ht="15.75" customHeight="1">
      <c r="A38" s="20">
        <v>44865.0</v>
      </c>
      <c r="B38" s="21">
        <v>109.5</v>
      </c>
      <c r="C38" s="21">
        <v>112.910004</v>
      </c>
      <c r="D38" s="21">
        <v>109.440002</v>
      </c>
      <c r="E38" s="21">
        <v>110.809998</v>
      </c>
      <c r="F38" s="21">
        <v>109.925072</v>
      </c>
      <c r="G38" s="21">
        <v>2.64018E7</v>
      </c>
      <c r="H38" s="1">
        <f t="shared" si="1"/>
        <v>2</v>
      </c>
      <c r="I38" s="1">
        <f t="shared" si="2"/>
        <v>376.842932</v>
      </c>
    </row>
    <row r="39" ht="15.75" customHeight="1">
      <c r="A39" s="20">
        <v>44872.0</v>
      </c>
      <c r="B39" s="21">
        <v>112.410004</v>
      </c>
      <c r="C39" s="21">
        <v>113.989998</v>
      </c>
      <c r="D39" s="21">
        <v>112.129997</v>
      </c>
      <c r="E39" s="21">
        <v>113.639999</v>
      </c>
      <c r="F39" s="21">
        <v>112.732475</v>
      </c>
      <c r="G39" s="21">
        <v>1.6008E7</v>
      </c>
      <c r="H39" s="1">
        <f t="shared" si="1"/>
        <v>2</v>
      </c>
      <c r="I39" s="1">
        <f t="shared" si="2"/>
        <v>494.7263022</v>
      </c>
    </row>
    <row r="40" ht="15.75" customHeight="1">
      <c r="A40" s="20">
        <v>44879.0</v>
      </c>
      <c r="B40" s="21">
        <v>112.629997</v>
      </c>
      <c r="C40" s="21">
        <v>114.639999</v>
      </c>
      <c r="D40" s="21">
        <v>112.489998</v>
      </c>
      <c r="E40" s="21">
        <v>113.370003</v>
      </c>
      <c r="F40" s="21">
        <v>113.370003</v>
      </c>
      <c r="G40" s="21">
        <v>2.08583E7</v>
      </c>
      <c r="H40" s="1">
        <f t="shared" si="1"/>
        <v>2</v>
      </c>
      <c r="I40" s="1">
        <f t="shared" si="2"/>
        <v>482.7884584</v>
      </c>
    </row>
    <row r="41" ht="15.75" customHeight="1">
      <c r="A41" s="20">
        <v>44886.0</v>
      </c>
      <c r="B41" s="21">
        <v>109.989998</v>
      </c>
      <c r="C41" s="21">
        <v>111.199997</v>
      </c>
      <c r="D41" s="21">
        <v>107.480003</v>
      </c>
      <c r="E41" s="21">
        <v>110.970001</v>
      </c>
      <c r="F41" s="21">
        <v>110.970001</v>
      </c>
      <c r="G41" s="21">
        <v>2.0973E7</v>
      </c>
      <c r="H41" s="1">
        <f t="shared" si="1"/>
        <v>2</v>
      </c>
      <c r="I41" s="1">
        <f t="shared" si="2"/>
        <v>383.0806311</v>
      </c>
    </row>
    <row r="42" ht="15.75" customHeight="1">
      <c r="A42" s="20">
        <v>44893.0</v>
      </c>
      <c r="B42" s="21">
        <v>110.660004</v>
      </c>
      <c r="C42" s="21">
        <v>111.459999</v>
      </c>
      <c r="D42" s="21">
        <v>109.620003</v>
      </c>
      <c r="E42" s="21">
        <v>109.809998</v>
      </c>
      <c r="F42" s="21">
        <v>109.809998</v>
      </c>
      <c r="G42" s="21">
        <v>2.30155E7</v>
      </c>
      <c r="H42" s="1">
        <f t="shared" si="1"/>
        <v>2</v>
      </c>
      <c r="I42" s="1">
        <f t="shared" si="2"/>
        <v>339.0180466</v>
      </c>
    </row>
    <row r="43" ht="15.75" customHeight="1">
      <c r="A43" s="20">
        <v>44900.0</v>
      </c>
      <c r="B43" s="21">
        <v>110.699997</v>
      </c>
      <c r="C43" s="21">
        <v>111.360001</v>
      </c>
      <c r="D43" s="21">
        <v>105.940002</v>
      </c>
      <c r="E43" s="21">
        <v>106.849998</v>
      </c>
      <c r="F43" s="21">
        <v>106.849998</v>
      </c>
      <c r="G43" s="21">
        <v>1.92877E7</v>
      </c>
      <c r="H43" s="1">
        <f t="shared" si="1"/>
        <v>2</v>
      </c>
      <c r="I43" s="1">
        <f t="shared" si="2"/>
        <v>238.7779857</v>
      </c>
    </row>
    <row r="44" ht="15.75" customHeight="1">
      <c r="A44" s="20">
        <v>44907.0</v>
      </c>
      <c r="B44" s="21">
        <v>103.830002</v>
      </c>
      <c r="C44" s="21">
        <v>106.239998</v>
      </c>
      <c r="D44" s="21">
        <v>103.589996</v>
      </c>
      <c r="E44" s="21">
        <v>106.089996</v>
      </c>
      <c r="F44" s="21">
        <v>106.089996</v>
      </c>
      <c r="G44" s="21">
        <v>2.04132E7</v>
      </c>
      <c r="H44" s="1">
        <f t="shared" si="1"/>
        <v>2</v>
      </c>
      <c r="I44" s="1">
        <f t="shared" si="2"/>
        <v>215.867814</v>
      </c>
    </row>
    <row r="45" ht="15.75" customHeight="1">
      <c r="A45" s="20">
        <v>44914.0</v>
      </c>
      <c r="B45" s="21">
        <v>105.260002</v>
      </c>
      <c r="C45" s="21">
        <v>106.199997</v>
      </c>
      <c r="D45" s="21">
        <v>104.379997</v>
      </c>
      <c r="E45" s="21">
        <v>105.169998</v>
      </c>
      <c r="F45" s="21">
        <v>105.169998</v>
      </c>
      <c r="G45" s="21">
        <v>1.36111E7</v>
      </c>
      <c r="H45" s="1">
        <f t="shared" si="1"/>
        <v>2</v>
      </c>
      <c r="I45" s="1">
        <f t="shared" si="2"/>
        <v>189.6801782</v>
      </c>
    </row>
    <row r="46" ht="15.75" customHeight="1">
      <c r="A46" s="20">
        <v>44565.0</v>
      </c>
      <c r="B46" s="21">
        <v>64.129997</v>
      </c>
      <c r="C46" s="21">
        <v>66.190002</v>
      </c>
      <c r="D46" s="21">
        <v>64.099998</v>
      </c>
      <c r="E46" s="21">
        <v>65.93</v>
      </c>
      <c r="F46" s="21">
        <v>63.414337</v>
      </c>
      <c r="G46" s="21">
        <v>3.8584E7</v>
      </c>
      <c r="H46" s="1">
        <f t="shared" si="1"/>
        <v>3</v>
      </c>
      <c r="I46" s="1">
        <f t="shared" ref="I46:I97" si="6">(E46-$L$5)^2</f>
        <v>660.312081</v>
      </c>
    </row>
    <row r="47" ht="15.75" customHeight="1">
      <c r="A47" s="20">
        <v>44572.0</v>
      </c>
      <c r="B47" s="21">
        <v>68.889999</v>
      </c>
      <c r="C47" s="21">
        <v>71.400002</v>
      </c>
      <c r="D47" s="21">
        <v>68.580002</v>
      </c>
      <c r="E47" s="21">
        <v>71.349998</v>
      </c>
      <c r="F47" s="21">
        <v>68.627533</v>
      </c>
      <c r="G47" s="21">
        <v>3.29361E7</v>
      </c>
      <c r="H47" s="1">
        <f t="shared" si="1"/>
        <v>3</v>
      </c>
      <c r="I47" s="1">
        <f t="shared" si="6"/>
        <v>411.1380868</v>
      </c>
    </row>
    <row r="48" ht="15.75" customHeight="1">
      <c r="A48" s="20">
        <v>44579.0</v>
      </c>
      <c r="B48" s="21">
        <v>72.82</v>
      </c>
      <c r="C48" s="21">
        <v>73.879997</v>
      </c>
      <c r="D48" s="21">
        <v>72.010002</v>
      </c>
      <c r="E48" s="21">
        <v>73.080002</v>
      </c>
      <c r="F48" s="21">
        <v>70.291527</v>
      </c>
      <c r="G48" s="21">
        <v>3.28412E7</v>
      </c>
      <c r="H48" s="1">
        <f t="shared" si="1"/>
        <v>3</v>
      </c>
      <c r="I48" s="1">
        <f t="shared" si="6"/>
        <v>343.974009</v>
      </c>
    </row>
    <row r="49" ht="15.75" customHeight="1">
      <c r="A49" s="20">
        <v>44586.0</v>
      </c>
      <c r="B49" s="21">
        <v>72.589996</v>
      </c>
      <c r="C49" s="21">
        <v>75.239998</v>
      </c>
      <c r="D49" s="21">
        <v>71.389999</v>
      </c>
      <c r="E49" s="21">
        <v>74.93</v>
      </c>
      <c r="F49" s="21">
        <v>72.070938</v>
      </c>
      <c r="G49" s="21">
        <v>3.92784E7</v>
      </c>
      <c r="H49" s="1">
        <f t="shared" si="1"/>
        <v>3</v>
      </c>
      <c r="I49" s="1">
        <f t="shared" si="6"/>
        <v>278.7743915</v>
      </c>
    </row>
    <row r="50" ht="15.75" customHeight="1">
      <c r="A50" s="20">
        <v>44593.0</v>
      </c>
      <c r="B50" s="21">
        <v>76.449997</v>
      </c>
      <c r="C50" s="21">
        <v>81.510002</v>
      </c>
      <c r="D50" s="21">
        <v>76.269997</v>
      </c>
      <c r="E50" s="21">
        <v>80.830002</v>
      </c>
      <c r="F50" s="21">
        <v>77.745819</v>
      </c>
      <c r="G50" s="21">
        <v>6.10331E7</v>
      </c>
      <c r="H50" s="1">
        <f t="shared" si="1"/>
        <v>3</v>
      </c>
      <c r="I50" s="1">
        <f t="shared" si="6"/>
        <v>116.5651962</v>
      </c>
    </row>
    <row r="51" ht="15.75" customHeight="1">
      <c r="A51" s="20">
        <v>44600.0</v>
      </c>
      <c r="B51" s="21">
        <v>82.269997</v>
      </c>
      <c r="C51" s="21">
        <v>82.5</v>
      </c>
      <c r="D51" s="21">
        <v>79.919998</v>
      </c>
      <c r="E51" s="21">
        <v>80.260002</v>
      </c>
      <c r="F51" s="21">
        <v>77.197563</v>
      </c>
      <c r="G51" s="21">
        <v>3.43563E7</v>
      </c>
      <c r="H51" s="1">
        <f t="shared" si="1"/>
        <v>3</v>
      </c>
      <c r="I51" s="1">
        <f t="shared" si="6"/>
        <v>129.1981476</v>
      </c>
    </row>
    <row r="52" ht="15.75" customHeight="1">
      <c r="A52" s="20">
        <v>44607.0</v>
      </c>
      <c r="B52" s="21">
        <v>76.900002</v>
      </c>
      <c r="C52" s="21">
        <v>78.190002</v>
      </c>
      <c r="D52" s="21">
        <v>76.419998</v>
      </c>
      <c r="E52" s="21">
        <v>77.989998</v>
      </c>
      <c r="F52" s="21">
        <v>75.845779</v>
      </c>
      <c r="G52" s="21">
        <v>2.50751E7</v>
      </c>
      <c r="H52" s="1">
        <f t="shared" si="1"/>
        <v>3</v>
      </c>
      <c r="I52" s="1">
        <f t="shared" si="6"/>
        <v>185.9552316</v>
      </c>
    </row>
    <row r="53" ht="15.75" customHeight="1">
      <c r="A53" s="20">
        <v>44614.0</v>
      </c>
      <c r="B53" s="21">
        <v>79.669998</v>
      </c>
      <c r="C53" s="21">
        <v>79.790001</v>
      </c>
      <c r="D53" s="21">
        <v>75.309998</v>
      </c>
      <c r="E53" s="21">
        <v>76.459999</v>
      </c>
      <c r="F53" s="21">
        <v>74.357849</v>
      </c>
      <c r="G53" s="21">
        <v>3.59478E7</v>
      </c>
      <c r="H53" s="1">
        <f t="shared" si="1"/>
        <v>3</v>
      </c>
      <c r="I53" s="1">
        <f t="shared" si="6"/>
        <v>230.0239146</v>
      </c>
    </row>
    <row r="54" ht="15.75" customHeight="1">
      <c r="A54" s="20">
        <v>44621.0</v>
      </c>
      <c r="B54" s="21">
        <v>78.769997</v>
      </c>
      <c r="C54" s="21">
        <v>80.650002</v>
      </c>
      <c r="D54" s="21">
        <v>78.330002</v>
      </c>
      <c r="E54" s="21">
        <v>79.169998</v>
      </c>
      <c r="F54" s="21">
        <v>76.99334</v>
      </c>
      <c r="G54" s="21">
        <v>4.00023E7</v>
      </c>
      <c r="H54" s="1">
        <f t="shared" si="1"/>
        <v>3</v>
      </c>
      <c r="I54" s="1">
        <f t="shared" si="6"/>
        <v>155.1653964</v>
      </c>
    </row>
    <row r="55" ht="15.75" customHeight="1">
      <c r="A55" s="20">
        <v>44628.0</v>
      </c>
      <c r="B55" s="21">
        <v>89.050003</v>
      </c>
      <c r="C55" s="21">
        <v>91.510002</v>
      </c>
      <c r="D55" s="21">
        <v>85.43</v>
      </c>
      <c r="E55" s="21">
        <v>87.779999</v>
      </c>
      <c r="F55" s="21">
        <v>85.366623</v>
      </c>
      <c r="G55" s="21">
        <v>7.20823E7</v>
      </c>
      <c r="H55" s="1">
        <f t="shared" si="1"/>
        <v>3</v>
      </c>
      <c r="I55" s="1">
        <f t="shared" si="6"/>
        <v>14.79586465</v>
      </c>
    </row>
    <row r="56" ht="15.75" customHeight="1">
      <c r="A56" s="20">
        <v>44635.0</v>
      </c>
      <c r="B56" s="21">
        <v>78.82</v>
      </c>
      <c r="C56" s="21">
        <v>79.169998</v>
      </c>
      <c r="D56" s="21">
        <v>76.370003</v>
      </c>
      <c r="E56" s="21">
        <v>77.220001</v>
      </c>
      <c r="F56" s="21">
        <v>75.096954</v>
      </c>
      <c r="G56" s="21">
        <v>4.79579E7</v>
      </c>
      <c r="H56" s="1">
        <f t="shared" si="1"/>
        <v>3</v>
      </c>
      <c r="I56" s="1">
        <f t="shared" si="6"/>
        <v>207.5483172</v>
      </c>
    </row>
    <row r="57" ht="15.75" customHeight="1">
      <c r="A57" s="20">
        <v>44642.0</v>
      </c>
      <c r="B57" s="21">
        <v>81.629997</v>
      </c>
      <c r="C57" s="21">
        <v>82.199997</v>
      </c>
      <c r="D57" s="21">
        <v>80.790001</v>
      </c>
      <c r="E57" s="21">
        <v>81.839996</v>
      </c>
      <c r="F57" s="21">
        <v>79.589928</v>
      </c>
      <c r="G57" s="21">
        <v>2.31322E7</v>
      </c>
      <c r="H57" s="1">
        <f t="shared" si="1"/>
        <v>3</v>
      </c>
      <c r="I57" s="1">
        <f t="shared" si="6"/>
        <v>95.77641034</v>
      </c>
    </row>
    <row r="58" ht="15.75" customHeight="1">
      <c r="A58" s="20">
        <v>44649.0</v>
      </c>
      <c r="B58" s="21">
        <v>80.809998</v>
      </c>
      <c r="C58" s="21">
        <v>82.489998</v>
      </c>
      <c r="D58" s="21">
        <v>79.760002</v>
      </c>
      <c r="E58" s="21">
        <v>82.370003</v>
      </c>
      <c r="F58" s="21">
        <v>80.105362</v>
      </c>
      <c r="G58" s="21">
        <v>2.70363E7</v>
      </c>
      <c r="H58" s="1">
        <f t="shared" si="1"/>
        <v>3</v>
      </c>
      <c r="I58" s="1">
        <f t="shared" si="6"/>
        <v>85.6834459</v>
      </c>
    </row>
    <row r="59" ht="15.75" customHeight="1">
      <c r="A59" s="20">
        <v>44656.0</v>
      </c>
      <c r="B59" s="21">
        <v>83.5</v>
      </c>
      <c r="C59" s="21">
        <v>85.07</v>
      </c>
      <c r="D59" s="21">
        <v>82.559998</v>
      </c>
      <c r="E59" s="21">
        <v>82.730003</v>
      </c>
      <c r="F59" s="21">
        <v>80.455475</v>
      </c>
      <c r="G59" s="21">
        <v>2.17531E7</v>
      </c>
      <c r="H59" s="1">
        <f t="shared" si="1"/>
        <v>3</v>
      </c>
      <c r="I59" s="1">
        <f t="shared" si="6"/>
        <v>79.14834048</v>
      </c>
    </row>
    <row r="60" ht="15.75" customHeight="1">
      <c r="A60" s="20">
        <v>44663.0</v>
      </c>
      <c r="B60" s="21">
        <v>85.709999</v>
      </c>
      <c r="C60" s="21">
        <v>86.82</v>
      </c>
      <c r="D60" s="21">
        <v>85.379997</v>
      </c>
      <c r="E60" s="21">
        <v>85.599998</v>
      </c>
      <c r="F60" s="21">
        <v>83.246559</v>
      </c>
      <c r="G60" s="21">
        <v>2.24442E7</v>
      </c>
      <c r="H60" s="1">
        <f t="shared" si="1"/>
        <v>3</v>
      </c>
      <c r="I60" s="1">
        <f t="shared" si="6"/>
        <v>36.31918808</v>
      </c>
    </row>
    <row r="61" ht="15.75" customHeight="1">
      <c r="A61" s="20">
        <v>44670.0</v>
      </c>
      <c r="B61" s="21">
        <v>88.010002</v>
      </c>
      <c r="C61" s="21">
        <v>88.660004</v>
      </c>
      <c r="D61" s="21">
        <v>87.269997</v>
      </c>
      <c r="E61" s="21">
        <v>87.760002</v>
      </c>
      <c r="F61" s="21">
        <v>85.347176</v>
      </c>
      <c r="G61" s="21">
        <v>2.03826E7</v>
      </c>
      <c r="H61" s="1">
        <f t="shared" si="1"/>
        <v>3</v>
      </c>
      <c r="I61" s="1">
        <f t="shared" si="6"/>
        <v>14.95010302</v>
      </c>
    </row>
    <row r="62" ht="15.75" customHeight="1">
      <c r="A62" s="20">
        <v>44677.0</v>
      </c>
      <c r="B62" s="21">
        <v>82.730003</v>
      </c>
      <c r="C62" s="21">
        <v>84.720001</v>
      </c>
      <c r="D62" s="21">
        <v>82.18</v>
      </c>
      <c r="E62" s="21">
        <v>82.290001</v>
      </c>
      <c r="F62" s="21">
        <v>80.027565</v>
      </c>
      <c r="G62" s="21">
        <v>2.89415E7</v>
      </c>
      <c r="H62" s="1">
        <f t="shared" si="1"/>
        <v>3</v>
      </c>
      <c r="I62" s="1">
        <f t="shared" si="6"/>
        <v>87.1709289</v>
      </c>
    </row>
    <row r="63" ht="15.75" customHeight="1">
      <c r="A63" s="20">
        <v>44684.0</v>
      </c>
      <c r="B63" s="21">
        <v>86.260002</v>
      </c>
      <c r="C63" s="21">
        <v>88.779999</v>
      </c>
      <c r="D63" s="21">
        <v>86.120003</v>
      </c>
      <c r="E63" s="21">
        <v>88.190002</v>
      </c>
      <c r="F63" s="21">
        <v>85.765343</v>
      </c>
      <c r="G63" s="21">
        <v>3.39081E7</v>
      </c>
      <c r="H63" s="1">
        <f t="shared" si="1"/>
        <v>3</v>
      </c>
      <c r="I63" s="1">
        <f t="shared" si="6"/>
        <v>11.80978179</v>
      </c>
    </row>
    <row r="64" ht="15.75" customHeight="1">
      <c r="A64" s="20">
        <v>44691.0</v>
      </c>
      <c r="B64" s="21">
        <v>85.639999</v>
      </c>
      <c r="C64" s="21">
        <v>86.889999</v>
      </c>
      <c r="D64" s="21">
        <v>83.519997</v>
      </c>
      <c r="E64" s="21">
        <v>85.019997</v>
      </c>
      <c r="F64" s="21">
        <v>82.682495</v>
      </c>
      <c r="G64" s="21">
        <v>3.44832E7</v>
      </c>
      <c r="H64" s="1">
        <f t="shared" si="1"/>
        <v>3</v>
      </c>
      <c r="I64" s="1">
        <f t="shared" si="6"/>
        <v>43.64638805</v>
      </c>
    </row>
    <row r="65" ht="15.75" customHeight="1">
      <c r="A65" s="20">
        <v>44698.0</v>
      </c>
      <c r="B65" s="21">
        <v>91.730003</v>
      </c>
      <c r="C65" s="21">
        <v>92.449997</v>
      </c>
      <c r="D65" s="21">
        <v>91.120003</v>
      </c>
      <c r="E65" s="21">
        <v>92.110001</v>
      </c>
      <c r="F65" s="21">
        <v>90.49514</v>
      </c>
      <c r="G65" s="21">
        <v>2.31207E7</v>
      </c>
      <c r="H65" s="1">
        <f t="shared" si="1"/>
        <v>3</v>
      </c>
      <c r="I65" s="1">
        <f t="shared" si="6"/>
        <v>0.2337361749</v>
      </c>
    </row>
    <row r="66" ht="15.75" customHeight="1">
      <c r="A66" s="20">
        <v>44705.0</v>
      </c>
      <c r="B66" s="21">
        <v>92.82</v>
      </c>
      <c r="C66" s="21">
        <v>94.790001</v>
      </c>
      <c r="D66" s="21">
        <v>92.32</v>
      </c>
      <c r="E66" s="21">
        <v>94.400002</v>
      </c>
      <c r="F66" s="21">
        <v>92.744995</v>
      </c>
      <c r="G66" s="21">
        <v>2.42933E7</v>
      </c>
      <c r="H66" s="1">
        <f t="shared" si="1"/>
        <v>3</v>
      </c>
      <c r="I66" s="1">
        <f t="shared" si="6"/>
        <v>7.692100853</v>
      </c>
    </row>
    <row r="67" ht="15.75" customHeight="1">
      <c r="A67" s="20">
        <v>44712.0</v>
      </c>
      <c r="B67" s="21">
        <v>98.559998</v>
      </c>
      <c r="C67" s="21">
        <v>99.779999</v>
      </c>
      <c r="D67" s="21">
        <v>95.709999</v>
      </c>
      <c r="E67" s="21">
        <v>96.0</v>
      </c>
      <c r="F67" s="21">
        <v>94.316948</v>
      </c>
      <c r="G67" s="21">
        <v>4.48881E7</v>
      </c>
      <c r="H67" s="1">
        <f t="shared" si="1"/>
        <v>3</v>
      </c>
      <c r="I67" s="1">
        <f t="shared" si="6"/>
        <v>19.12716717</v>
      </c>
    </row>
    <row r="68" ht="15.75" customHeight="1">
      <c r="A68" s="20">
        <v>44719.0</v>
      </c>
      <c r="B68" s="21">
        <v>99.699997</v>
      </c>
      <c r="C68" s="21">
        <v>103.43</v>
      </c>
      <c r="D68" s="21">
        <v>99.489998</v>
      </c>
      <c r="E68" s="21">
        <v>103.370003</v>
      </c>
      <c r="F68" s="21">
        <v>101.557732</v>
      </c>
      <c r="G68" s="21">
        <v>3.78102E7</v>
      </c>
      <c r="H68" s="1">
        <f t="shared" si="1"/>
        <v>3</v>
      </c>
      <c r="I68" s="1">
        <f t="shared" si="6"/>
        <v>137.908963</v>
      </c>
    </row>
    <row r="69" ht="15.75" customHeight="1">
      <c r="A69" s="20">
        <v>44726.0</v>
      </c>
      <c r="B69" s="21">
        <v>97.410004</v>
      </c>
      <c r="C69" s="21">
        <v>98.669998</v>
      </c>
      <c r="D69" s="21">
        <v>95.269997</v>
      </c>
      <c r="E69" s="21">
        <v>96.099998</v>
      </c>
      <c r="F69" s="21">
        <v>94.415192</v>
      </c>
      <c r="G69" s="21">
        <v>3.1264E7</v>
      </c>
      <c r="H69" s="1">
        <f t="shared" si="1"/>
        <v>3</v>
      </c>
      <c r="I69" s="1">
        <f t="shared" si="6"/>
        <v>20.01184162</v>
      </c>
    </row>
    <row r="70" ht="15.75" customHeight="1">
      <c r="A70" s="20">
        <v>44733.0</v>
      </c>
      <c r="B70" s="21">
        <v>88.580002</v>
      </c>
      <c r="C70" s="21">
        <v>92.529999</v>
      </c>
      <c r="D70" s="21">
        <v>88.519997</v>
      </c>
      <c r="E70" s="21">
        <v>91.480003</v>
      </c>
      <c r="F70" s="21">
        <v>89.87619</v>
      </c>
      <c r="G70" s="21">
        <v>3.59515E7</v>
      </c>
      <c r="H70" s="1">
        <f t="shared" si="1"/>
        <v>3</v>
      </c>
      <c r="I70" s="1">
        <f t="shared" si="6"/>
        <v>0.0214725964</v>
      </c>
    </row>
    <row r="71" ht="15.75" customHeight="1">
      <c r="A71" s="20">
        <v>44740.0</v>
      </c>
      <c r="B71" s="21">
        <v>91.120003</v>
      </c>
      <c r="C71" s="21">
        <v>93.239998</v>
      </c>
      <c r="D71" s="21">
        <v>90.349998</v>
      </c>
      <c r="E71" s="21">
        <v>91.5</v>
      </c>
      <c r="F71" s="21">
        <v>89.895836</v>
      </c>
      <c r="G71" s="21">
        <v>3.30969E7</v>
      </c>
      <c r="H71" s="1">
        <f t="shared" si="1"/>
        <v>3</v>
      </c>
      <c r="I71" s="1">
        <f t="shared" si="6"/>
        <v>0.01601194331</v>
      </c>
    </row>
    <row r="72" ht="15.75" customHeight="1">
      <c r="A72" s="20">
        <v>44747.0</v>
      </c>
      <c r="B72" s="21">
        <v>86.339996</v>
      </c>
      <c r="C72" s="21">
        <v>86.699997</v>
      </c>
      <c r="D72" s="21">
        <v>83.010002</v>
      </c>
      <c r="E72" s="21">
        <v>84.809998</v>
      </c>
      <c r="F72" s="21">
        <v>83.32312</v>
      </c>
      <c r="G72" s="21">
        <v>3.45911E7</v>
      </c>
      <c r="H72" s="1">
        <f t="shared" si="1"/>
        <v>3</v>
      </c>
      <c r="I72" s="1">
        <f t="shared" si="6"/>
        <v>46.46522177</v>
      </c>
    </row>
    <row r="73" ht="15.75" customHeight="1">
      <c r="A73" s="20">
        <v>44754.0</v>
      </c>
      <c r="B73" s="21">
        <v>83.779999</v>
      </c>
      <c r="C73" s="21">
        <v>85.050003</v>
      </c>
      <c r="D73" s="21">
        <v>82.860001</v>
      </c>
      <c r="E73" s="21">
        <v>84.5</v>
      </c>
      <c r="F73" s="21">
        <v>83.018562</v>
      </c>
      <c r="G73" s="21">
        <v>2.1013E7</v>
      </c>
      <c r="H73" s="1">
        <f t="shared" si="1"/>
        <v>3</v>
      </c>
      <c r="I73" s="1">
        <f t="shared" si="6"/>
        <v>50.78754825</v>
      </c>
    </row>
    <row r="74" ht="15.75" customHeight="1">
      <c r="A74" s="20">
        <v>44761.0</v>
      </c>
      <c r="B74" s="21">
        <v>86.419998</v>
      </c>
      <c r="C74" s="21">
        <v>88.519997</v>
      </c>
      <c r="D74" s="21">
        <v>86.25</v>
      </c>
      <c r="E74" s="21">
        <v>88.269997</v>
      </c>
      <c r="F74" s="21">
        <v>86.722458</v>
      </c>
      <c r="G74" s="21">
        <v>1.82489E7</v>
      </c>
      <c r="H74" s="1">
        <f t="shared" si="1"/>
        <v>3</v>
      </c>
      <c r="I74" s="1">
        <f t="shared" si="6"/>
        <v>11.26636955</v>
      </c>
    </row>
    <row r="75" ht="15.75" customHeight="1">
      <c r="A75" s="20">
        <v>44768.0</v>
      </c>
      <c r="B75" s="21">
        <v>91.129997</v>
      </c>
      <c r="C75" s="21">
        <v>91.279999</v>
      </c>
      <c r="D75" s="21">
        <v>89.0</v>
      </c>
      <c r="E75" s="21">
        <v>89.629997</v>
      </c>
      <c r="F75" s="21">
        <v>88.058617</v>
      </c>
      <c r="G75" s="21">
        <v>1.51412E7</v>
      </c>
      <c r="H75" s="1">
        <f t="shared" si="1"/>
        <v>3</v>
      </c>
      <c r="I75" s="1">
        <f t="shared" si="6"/>
        <v>3.986177193</v>
      </c>
    </row>
    <row r="76" ht="15.75" customHeight="1">
      <c r="A76" s="20">
        <v>44775.0</v>
      </c>
      <c r="B76" s="21">
        <v>94.690002</v>
      </c>
      <c r="C76" s="21">
        <v>95.199997</v>
      </c>
      <c r="D76" s="21">
        <v>93.82</v>
      </c>
      <c r="E76" s="21">
        <v>94.07</v>
      </c>
      <c r="F76" s="21">
        <v>92.420784</v>
      </c>
      <c r="G76" s="21">
        <v>1.67225E7</v>
      </c>
      <c r="H76" s="1">
        <f t="shared" si="1"/>
        <v>3</v>
      </c>
      <c r="I76" s="1">
        <f t="shared" si="6"/>
        <v>5.970505042</v>
      </c>
    </row>
    <row r="77" ht="15.75" customHeight="1">
      <c r="A77" s="20">
        <v>44782.0</v>
      </c>
      <c r="B77" s="21">
        <v>90.050003</v>
      </c>
      <c r="C77" s="21">
        <v>91.610001</v>
      </c>
      <c r="D77" s="21">
        <v>89.949997</v>
      </c>
      <c r="E77" s="21">
        <v>90.589996</v>
      </c>
      <c r="F77" s="21">
        <v>89.001785</v>
      </c>
      <c r="G77" s="21">
        <v>1.90834E7</v>
      </c>
      <c r="H77" s="1">
        <f t="shared" si="1"/>
        <v>3</v>
      </c>
      <c r="I77" s="1">
        <f t="shared" si="6"/>
        <v>1.074419956</v>
      </c>
    </row>
    <row r="78" ht="15.75" customHeight="1">
      <c r="A78" s="20">
        <v>44789.0</v>
      </c>
      <c r="B78" s="21">
        <v>92.029999</v>
      </c>
      <c r="C78" s="21">
        <v>92.889999</v>
      </c>
      <c r="D78" s="21">
        <v>91.290001</v>
      </c>
      <c r="E78" s="21">
        <v>91.459999</v>
      </c>
      <c r="F78" s="21">
        <v>90.729607</v>
      </c>
      <c r="G78" s="21">
        <v>1.40382E7</v>
      </c>
      <c r="H78" s="1">
        <f t="shared" si="1"/>
        <v>3</v>
      </c>
      <c r="I78" s="1">
        <f t="shared" si="6"/>
        <v>0.02773534101</v>
      </c>
    </row>
    <row r="79" ht="15.75" customHeight="1">
      <c r="A79" s="20">
        <v>44796.0</v>
      </c>
      <c r="B79" s="21">
        <v>95.550003</v>
      </c>
      <c r="C79" s="21">
        <v>98.410004</v>
      </c>
      <c r="D79" s="21">
        <v>95.449997</v>
      </c>
      <c r="E79" s="21">
        <v>98.0</v>
      </c>
      <c r="F79" s="21">
        <v>97.217377</v>
      </c>
      <c r="G79" s="21">
        <v>2.37647E7</v>
      </c>
      <c r="H79" s="1">
        <f t="shared" si="1"/>
        <v>3</v>
      </c>
      <c r="I79" s="1">
        <f t="shared" si="6"/>
        <v>40.62101394</v>
      </c>
    </row>
    <row r="80" ht="15.75" customHeight="1">
      <c r="A80" s="20">
        <v>44803.0</v>
      </c>
      <c r="B80" s="21">
        <v>98.360001</v>
      </c>
      <c r="C80" s="21">
        <v>98.620003</v>
      </c>
      <c r="D80" s="21">
        <v>95.82</v>
      </c>
      <c r="E80" s="21">
        <v>96.309998</v>
      </c>
      <c r="F80" s="21">
        <v>95.540871</v>
      </c>
      <c r="G80" s="21">
        <v>1.70868E7</v>
      </c>
      <c r="H80" s="1">
        <f t="shared" si="1"/>
        <v>3</v>
      </c>
      <c r="I80" s="1">
        <f t="shared" si="6"/>
        <v>21.93479469</v>
      </c>
    </row>
    <row r="81" ht="15.75" customHeight="1">
      <c r="A81" s="20">
        <v>44810.0</v>
      </c>
      <c r="B81" s="21">
        <v>96.160004</v>
      </c>
      <c r="C81" s="21">
        <v>96.589996</v>
      </c>
      <c r="D81" s="21">
        <v>94.510002</v>
      </c>
      <c r="E81" s="21">
        <v>94.949997</v>
      </c>
      <c r="F81" s="21">
        <v>94.191734</v>
      </c>
      <c r="G81" s="21">
        <v>1.92015E7</v>
      </c>
      <c r="H81" s="1">
        <f t="shared" si="1"/>
        <v>3</v>
      </c>
      <c r="I81" s="1">
        <f t="shared" si="6"/>
        <v>11.04537768</v>
      </c>
    </row>
    <row r="82" ht="15.75" customHeight="1">
      <c r="A82" s="20">
        <v>44817.0</v>
      </c>
      <c r="B82" s="21">
        <v>96.610001</v>
      </c>
      <c r="C82" s="21">
        <v>97.779999</v>
      </c>
      <c r="D82" s="21">
        <v>94.910004</v>
      </c>
      <c r="E82" s="21">
        <v>95.330002</v>
      </c>
      <c r="F82" s="21">
        <v>94.568703</v>
      </c>
      <c r="G82" s="21">
        <v>1.82291E7</v>
      </c>
      <c r="H82" s="1">
        <f t="shared" si="1"/>
        <v>3</v>
      </c>
      <c r="I82" s="1">
        <f t="shared" si="6"/>
        <v>13.71564332</v>
      </c>
    </row>
    <row r="83" ht="15.75" customHeight="1">
      <c r="A83" s="20">
        <v>44824.0</v>
      </c>
      <c r="B83" s="21">
        <v>92.730003</v>
      </c>
      <c r="C83" s="21">
        <v>92.93</v>
      </c>
      <c r="D83" s="21">
        <v>91.639999</v>
      </c>
      <c r="E83" s="21">
        <v>92.440002</v>
      </c>
      <c r="F83" s="21">
        <v>91.701782</v>
      </c>
      <c r="G83" s="21">
        <v>1.47125E7</v>
      </c>
      <c r="H83" s="1">
        <f t="shared" si="1"/>
        <v>3</v>
      </c>
      <c r="I83" s="1">
        <f t="shared" si="6"/>
        <v>0.6617231787</v>
      </c>
    </row>
    <row r="84" ht="15.75" customHeight="1">
      <c r="A84" s="20">
        <v>44831.0</v>
      </c>
      <c r="B84" s="21">
        <v>85.610001</v>
      </c>
      <c r="C84" s="21">
        <v>86.959999</v>
      </c>
      <c r="D84" s="21">
        <v>84.809998</v>
      </c>
      <c r="E84" s="21">
        <v>85.739998</v>
      </c>
      <c r="F84" s="21">
        <v>85.055283</v>
      </c>
      <c r="G84" s="21">
        <v>1.73073E7</v>
      </c>
      <c r="H84" s="1">
        <f t="shared" si="1"/>
        <v>3</v>
      </c>
      <c r="I84" s="1">
        <f t="shared" si="6"/>
        <v>34.65135679</v>
      </c>
    </row>
    <row r="85" ht="15.75" customHeight="1">
      <c r="A85" s="20">
        <v>44838.0</v>
      </c>
      <c r="B85" s="21">
        <v>93.239998</v>
      </c>
      <c r="C85" s="21">
        <v>95.360001</v>
      </c>
      <c r="D85" s="21">
        <v>92.709999</v>
      </c>
      <c r="E85" s="21">
        <v>95.269997</v>
      </c>
      <c r="F85" s="21">
        <v>94.509178</v>
      </c>
      <c r="G85" s="21">
        <v>2.21337E7</v>
      </c>
      <c r="H85" s="1">
        <f t="shared" si="1"/>
        <v>3</v>
      </c>
      <c r="I85" s="1">
        <f t="shared" si="6"/>
        <v>13.27479124</v>
      </c>
    </row>
    <row r="86" ht="15.75" customHeight="1">
      <c r="A86" s="20">
        <v>44845.0</v>
      </c>
      <c r="B86" s="21">
        <v>97.220001</v>
      </c>
      <c r="C86" s="21">
        <v>99.760002</v>
      </c>
      <c r="D86" s="21">
        <v>96.75</v>
      </c>
      <c r="E86" s="21">
        <v>98.0</v>
      </c>
      <c r="F86" s="21">
        <v>97.217377</v>
      </c>
      <c r="G86" s="21">
        <v>1.78041E7</v>
      </c>
      <c r="H86" s="1">
        <f t="shared" si="1"/>
        <v>3</v>
      </c>
      <c r="I86" s="1">
        <f t="shared" si="6"/>
        <v>40.62101394</v>
      </c>
    </row>
    <row r="87" ht="15.75" customHeight="1">
      <c r="A87" s="20">
        <v>44852.0</v>
      </c>
      <c r="B87" s="21">
        <v>101.540001</v>
      </c>
      <c r="C87" s="21">
        <v>102.349998</v>
      </c>
      <c r="D87" s="21">
        <v>99.230003</v>
      </c>
      <c r="E87" s="21">
        <v>100.800003</v>
      </c>
      <c r="F87" s="21">
        <v>99.995018</v>
      </c>
      <c r="G87" s="21">
        <v>1.40654E7</v>
      </c>
      <c r="H87" s="1">
        <f t="shared" si="1"/>
        <v>3</v>
      </c>
      <c r="I87" s="1">
        <f t="shared" si="6"/>
        <v>84.15245446</v>
      </c>
    </row>
    <row r="88" ht="15.75" customHeight="1">
      <c r="A88" s="20">
        <v>44859.0</v>
      </c>
      <c r="B88" s="21">
        <v>106.410004</v>
      </c>
      <c r="C88" s="21">
        <v>107.330002</v>
      </c>
      <c r="D88" s="21">
        <v>105.07</v>
      </c>
      <c r="E88" s="21">
        <v>105.879997</v>
      </c>
      <c r="F88" s="21">
        <v>105.034447</v>
      </c>
      <c r="G88" s="21">
        <v>1.57198E7</v>
      </c>
      <c r="H88" s="1">
        <f t="shared" si="1"/>
        <v>3</v>
      </c>
      <c r="I88" s="1">
        <f t="shared" si="6"/>
        <v>203.1610847</v>
      </c>
    </row>
    <row r="89" ht="15.75" customHeight="1">
      <c r="A89" s="20">
        <v>44866.0</v>
      </c>
      <c r="B89" s="21">
        <v>112.370003</v>
      </c>
      <c r="C89" s="21">
        <v>112.57</v>
      </c>
      <c r="D89" s="21">
        <v>110.650002</v>
      </c>
      <c r="E89" s="21">
        <v>111.910004</v>
      </c>
      <c r="F89" s="21">
        <v>111.016296</v>
      </c>
      <c r="G89" s="21">
        <v>2.22131E7</v>
      </c>
      <c r="H89" s="1">
        <f t="shared" si="1"/>
        <v>3</v>
      </c>
      <c r="I89" s="1">
        <f t="shared" si="6"/>
        <v>411.4189805</v>
      </c>
    </row>
    <row r="90" ht="15.75" customHeight="1">
      <c r="A90" s="20">
        <v>44873.0</v>
      </c>
      <c r="B90" s="21">
        <v>113.480003</v>
      </c>
      <c r="C90" s="21">
        <v>114.660004</v>
      </c>
      <c r="D90" s="21">
        <v>112.599998</v>
      </c>
      <c r="E90" s="21">
        <v>114.0</v>
      </c>
      <c r="F90" s="21">
        <v>113.0896</v>
      </c>
      <c r="G90" s="21">
        <v>1.4661E7</v>
      </c>
      <c r="H90" s="1">
        <f t="shared" si="1"/>
        <v>3</v>
      </c>
      <c r="I90" s="1">
        <f t="shared" si="6"/>
        <v>500.5717881</v>
      </c>
    </row>
    <row r="91" ht="15.75" customHeight="1">
      <c r="A91" s="20">
        <v>44880.0</v>
      </c>
      <c r="B91" s="21">
        <v>113.800003</v>
      </c>
      <c r="C91" s="21">
        <v>114.529999</v>
      </c>
      <c r="D91" s="21">
        <v>112.870003</v>
      </c>
      <c r="E91" s="21">
        <v>114.129997</v>
      </c>
      <c r="F91" s="21">
        <v>114.129997</v>
      </c>
      <c r="G91" s="21">
        <v>1.93738E7</v>
      </c>
      <c r="H91" s="1">
        <f t="shared" si="1"/>
        <v>3</v>
      </c>
      <c r="I91" s="1">
        <f t="shared" si="6"/>
        <v>506.4056531</v>
      </c>
    </row>
    <row r="92" ht="15.75" customHeight="1">
      <c r="A92" s="20">
        <v>44887.0</v>
      </c>
      <c r="B92" s="21">
        <v>112.209999</v>
      </c>
      <c r="C92" s="21">
        <v>114.470001</v>
      </c>
      <c r="D92" s="21">
        <v>111.43</v>
      </c>
      <c r="E92" s="21">
        <v>114.18</v>
      </c>
      <c r="F92" s="21">
        <v>114.18</v>
      </c>
      <c r="G92" s="21">
        <v>1.77191E7</v>
      </c>
      <c r="H92" s="1">
        <f t="shared" si="1"/>
        <v>3</v>
      </c>
      <c r="I92" s="1">
        <f t="shared" si="6"/>
        <v>508.6586343</v>
      </c>
    </row>
    <row r="93" ht="15.75" customHeight="1">
      <c r="A93" s="20">
        <v>44894.0</v>
      </c>
      <c r="B93" s="21">
        <v>110.610001</v>
      </c>
      <c r="C93" s="21">
        <v>111.800003</v>
      </c>
      <c r="D93" s="21">
        <v>109.790001</v>
      </c>
      <c r="E93" s="21">
        <v>110.540001</v>
      </c>
      <c r="F93" s="21">
        <v>110.540001</v>
      </c>
      <c r="G93" s="21">
        <v>1.44532E7</v>
      </c>
      <c r="H93" s="1">
        <f t="shared" si="1"/>
        <v>3</v>
      </c>
      <c r="I93" s="1">
        <f t="shared" si="6"/>
        <v>357.719071</v>
      </c>
    </row>
    <row r="94" ht="15.75" customHeight="1">
      <c r="A94" s="20">
        <v>44901.0</v>
      </c>
      <c r="B94" s="21">
        <v>105.900002</v>
      </c>
      <c r="C94" s="21">
        <v>107.040001</v>
      </c>
      <c r="D94" s="21">
        <v>103.150002</v>
      </c>
      <c r="E94" s="21">
        <v>103.879997</v>
      </c>
      <c r="F94" s="21">
        <v>103.879997</v>
      </c>
      <c r="G94" s="21">
        <v>2.1197E7</v>
      </c>
      <c r="H94" s="1">
        <f t="shared" si="1"/>
        <v>3</v>
      </c>
      <c r="I94" s="1">
        <f t="shared" si="6"/>
        <v>150.1472499</v>
      </c>
    </row>
    <row r="95" ht="15.75" customHeight="1">
      <c r="A95" s="20">
        <v>44908.0</v>
      </c>
      <c r="B95" s="21">
        <v>107.800003</v>
      </c>
      <c r="C95" s="21">
        <v>108.540001</v>
      </c>
      <c r="D95" s="21">
        <v>107.019997</v>
      </c>
      <c r="E95" s="21">
        <v>107.25</v>
      </c>
      <c r="F95" s="21">
        <v>107.25</v>
      </c>
      <c r="G95" s="21">
        <v>2.43053E7</v>
      </c>
      <c r="H95" s="1">
        <f t="shared" si="1"/>
        <v>3</v>
      </c>
      <c r="I95" s="1">
        <f t="shared" si="6"/>
        <v>244.0925553</v>
      </c>
    </row>
    <row r="96" ht="15.75" customHeight="1">
      <c r="A96" s="20">
        <v>44915.0</v>
      </c>
      <c r="B96" s="21">
        <v>105.169998</v>
      </c>
      <c r="C96" s="21">
        <v>107.510002</v>
      </c>
      <c r="D96" s="21">
        <v>105.07</v>
      </c>
      <c r="E96" s="21">
        <v>106.690002</v>
      </c>
      <c r="F96" s="21">
        <v>106.690002</v>
      </c>
      <c r="G96" s="21">
        <v>1.468E7</v>
      </c>
      <c r="H96" s="1">
        <f t="shared" si="1"/>
        <v>3</v>
      </c>
      <c r="I96" s="1">
        <f t="shared" si="6"/>
        <v>226.9079384</v>
      </c>
    </row>
    <row r="97" ht="15.75" customHeight="1">
      <c r="A97" s="20">
        <v>44922.0</v>
      </c>
      <c r="B97" s="21">
        <v>109.269997</v>
      </c>
      <c r="C97" s="21">
        <v>110.470001</v>
      </c>
      <c r="D97" s="21">
        <v>108.830002</v>
      </c>
      <c r="E97" s="21">
        <v>110.190002</v>
      </c>
      <c r="F97" s="21">
        <v>110.190002</v>
      </c>
      <c r="G97" s="21">
        <v>1.19621E7</v>
      </c>
      <c r="H97" s="1">
        <f t="shared" si="1"/>
        <v>3</v>
      </c>
      <c r="I97" s="1">
        <f t="shared" si="6"/>
        <v>344.6021843</v>
      </c>
    </row>
    <row r="98" ht="15.75" customHeight="1">
      <c r="A98" s="20">
        <v>44566.0</v>
      </c>
      <c r="B98" s="21">
        <v>66.5</v>
      </c>
      <c r="C98" s="21">
        <v>67.610001</v>
      </c>
      <c r="D98" s="21">
        <v>66.480003</v>
      </c>
      <c r="E98" s="21">
        <v>66.75</v>
      </c>
      <c r="F98" s="21">
        <v>64.203064</v>
      </c>
      <c r="G98" s="21">
        <v>3.40333E7</v>
      </c>
      <c r="H98" s="1">
        <f t="shared" si="1"/>
        <v>4</v>
      </c>
      <c r="I98" s="1">
        <f t="shared" ref="I98:I149" si="7">(E98-$L$6)^2</f>
        <v>623.7121718</v>
      </c>
    </row>
    <row r="99" ht="15.75" customHeight="1">
      <c r="A99" s="20">
        <v>44573.0</v>
      </c>
      <c r="B99" s="21">
        <v>71.139999</v>
      </c>
      <c r="C99" s="21">
        <v>71.809998</v>
      </c>
      <c r="D99" s="21">
        <v>70.639999</v>
      </c>
      <c r="E99" s="21">
        <v>71.139999</v>
      </c>
      <c r="F99" s="21">
        <v>68.425552</v>
      </c>
      <c r="G99" s="21">
        <v>2.30451E7</v>
      </c>
      <c r="H99" s="1">
        <f t="shared" si="1"/>
        <v>4</v>
      </c>
      <c r="I99" s="1">
        <f t="shared" si="7"/>
        <v>423.7105722</v>
      </c>
    </row>
    <row r="100" ht="15.75" customHeight="1">
      <c r="A100" s="20">
        <v>44580.0</v>
      </c>
      <c r="B100" s="21">
        <v>73.75</v>
      </c>
      <c r="C100" s="21">
        <v>73.860001</v>
      </c>
      <c r="D100" s="21">
        <v>72.550003</v>
      </c>
      <c r="E100" s="21">
        <v>73.110001</v>
      </c>
      <c r="F100" s="21">
        <v>70.320381</v>
      </c>
      <c r="G100" s="21">
        <v>2.64316E7</v>
      </c>
      <c r="H100" s="1">
        <f t="shared" si="1"/>
        <v>4</v>
      </c>
      <c r="I100" s="1">
        <f t="shared" si="7"/>
        <v>346.489527</v>
      </c>
    </row>
    <row r="101" ht="15.75" customHeight="1">
      <c r="A101" s="20">
        <v>44587.0</v>
      </c>
      <c r="B101" s="21">
        <v>75.43</v>
      </c>
      <c r="C101" s="21">
        <v>76.0</v>
      </c>
      <c r="D101" s="21">
        <v>73.489998</v>
      </c>
      <c r="E101" s="21">
        <v>74.169998</v>
      </c>
      <c r="F101" s="21">
        <v>71.339935</v>
      </c>
      <c r="G101" s="21">
        <v>3.52524E7</v>
      </c>
      <c r="H101" s="1">
        <f t="shared" si="1"/>
        <v>4</v>
      </c>
      <c r="I101" s="1">
        <f t="shared" si="7"/>
        <v>308.1510665</v>
      </c>
    </row>
    <row r="102" ht="15.75" customHeight="1">
      <c r="A102" s="20">
        <v>44594.0</v>
      </c>
      <c r="B102" s="21">
        <v>80.059998</v>
      </c>
      <c r="C102" s="21">
        <v>80.809998</v>
      </c>
      <c r="D102" s="21">
        <v>79.150002</v>
      </c>
      <c r="E102" s="21">
        <v>80.620003</v>
      </c>
      <c r="F102" s="21">
        <v>77.543839</v>
      </c>
      <c r="G102" s="21">
        <v>3.02993E7</v>
      </c>
      <c r="H102" s="1">
        <f t="shared" si="1"/>
        <v>4</v>
      </c>
      <c r="I102" s="1">
        <f t="shared" si="7"/>
        <v>123.3038607</v>
      </c>
    </row>
    <row r="103" ht="15.75" customHeight="1">
      <c r="A103" s="20">
        <v>44601.0</v>
      </c>
      <c r="B103" s="21">
        <v>79.580002</v>
      </c>
      <c r="C103" s="21">
        <v>80.029999</v>
      </c>
      <c r="D103" s="21">
        <v>78.709999</v>
      </c>
      <c r="E103" s="21">
        <v>79.0</v>
      </c>
      <c r="F103" s="21">
        <v>76.828011</v>
      </c>
      <c r="G103" s="21">
        <v>4.01061E7</v>
      </c>
      <c r="H103" s="1">
        <f t="shared" si="1"/>
        <v>4</v>
      </c>
      <c r="I103" s="1">
        <f t="shared" si="7"/>
        <v>161.906033</v>
      </c>
    </row>
    <row r="104" ht="15.75" customHeight="1">
      <c r="A104" s="20">
        <v>44608.0</v>
      </c>
      <c r="B104" s="21">
        <v>78.790001</v>
      </c>
      <c r="C104" s="21">
        <v>79.730003</v>
      </c>
      <c r="D104" s="21">
        <v>78.040001</v>
      </c>
      <c r="E104" s="21">
        <v>78.349998</v>
      </c>
      <c r="F104" s="21">
        <v>76.195877</v>
      </c>
      <c r="G104" s="21">
        <v>2.17338E7</v>
      </c>
      <c r="H104" s="1">
        <f t="shared" si="1"/>
        <v>4</v>
      </c>
      <c r="I104" s="1">
        <f t="shared" si="7"/>
        <v>178.8700857</v>
      </c>
    </row>
    <row r="105" ht="15.75" customHeight="1">
      <c r="A105" s="20">
        <v>44615.0</v>
      </c>
      <c r="B105" s="21">
        <v>76.459999</v>
      </c>
      <c r="C105" s="21">
        <v>77.470001</v>
      </c>
      <c r="D105" s="21">
        <v>76.129997</v>
      </c>
      <c r="E105" s="21">
        <v>76.769997</v>
      </c>
      <c r="F105" s="21">
        <v>74.659317</v>
      </c>
      <c r="G105" s="21">
        <v>2.5385E7</v>
      </c>
      <c r="H105" s="1">
        <f t="shared" si="1"/>
        <v>4</v>
      </c>
      <c r="I105" s="1">
        <f t="shared" si="7"/>
        <v>223.6290892</v>
      </c>
    </row>
    <row r="106" ht="15.75" customHeight="1">
      <c r="A106" s="20">
        <v>44622.0</v>
      </c>
      <c r="B106" s="21">
        <v>80.599998</v>
      </c>
      <c r="C106" s="21">
        <v>82.150002</v>
      </c>
      <c r="D106" s="21">
        <v>79.82</v>
      </c>
      <c r="E106" s="21">
        <v>80.529999</v>
      </c>
      <c r="F106" s="21">
        <v>78.315941</v>
      </c>
      <c r="G106" s="21">
        <v>4.43214E7</v>
      </c>
      <c r="H106" s="1">
        <f t="shared" si="1"/>
        <v>4</v>
      </c>
      <c r="I106" s="1">
        <f t="shared" si="7"/>
        <v>125.3108111</v>
      </c>
    </row>
    <row r="107" ht="15.75" customHeight="1">
      <c r="A107" s="20">
        <v>44629.0</v>
      </c>
      <c r="B107" s="21">
        <v>84.029999</v>
      </c>
      <c r="C107" s="21">
        <v>86.57</v>
      </c>
      <c r="D107" s="21">
        <v>81.599998</v>
      </c>
      <c r="E107" s="21">
        <v>82.790001</v>
      </c>
      <c r="F107" s="21">
        <v>80.513809</v>
      </c>
      <c r="G107" s="21">
        <v>6.54667E7</v>
      </c>
      <c r="H107" s="1">
        <f t="shared" si="1"/>
        <v>4</v>
      </c>
      <c r="I107" s="1">
        <f t="shared" si="7"/>
        <v>79.82045057</v>
      </c>
    </row>
    <row r="108" ht="15.75" customHeight="1">
      <c r="A108" s="20">
        <v>44636.0</v>
      </c>
      <c r="B108" s="21">
        <v>77.809998</v>
      </c>
      <c r="C108" s="21">
        <v>78.620003</v>
      </c>
      <c r="D108" s="21">
        <v>76.25</v>
      </c>
      <c r="E108" s="21">
        <v>76.93</v>
      </c>
      <c r="F108" s="21">
        <v>74.814926</v>
      </c>
      <c r="G108" s="21">
        <v>3.78123E7</v>
      </c>
      <c r="H108" s="1">
        <f t="shared" si="1"/>
        <v>4</v>
      </c>
      <c r="I108" s="1">
        <f t="shared" si="7"/>
        <v>218.8692458</v>
      </c>
    </row>
    <row r="109" ht="15.75" customHeight="1">
      <c r="A109" s="20">
        <v>44643.0</v>
      </c>
      <c r="B109" s="21">
        <v>83.339996</v>
      </c>
      <c r="C109" s="21">
        <v>84.269997</v>
      </c>
      <c r="D109" s="21">
        <v>83.050003</v>
      </c>
      <c r="E109" s="21">
        <v>83.129997</v>
      </c>
      <c r="F109" s="21">
        <v>80.84446</v>
      </c>
      <c r="G109" s="21">
        <v>2.77163E7</v>
      </c>
      <c r="H109" s="1">
        <f t="shared" si="1"/>
        <v>4</v>
      </c>
      <c r="I109" s="1">
        <f t="shared" si="7"/>
        <v>73.8608435</v>
      </c>
    </row>
    <row r="110" ht="15.75" customHeight="1">
      <c r="A110" s="20">
        <v>44650.0</v>
      </c>
      <c r="B110" s="21">
        <v>83.059998</v>
      </c>
      <c r="C110" s="21">
        <v>84.010002</v>
      </c>
      <c r="D110" s="21">
        <v>82.709999</v>
      </c>
      <c r="E110" s="21">
        <v>83.779999</v>
      </c>
      <c r="F110" s="21">
        <v>81.476593</v>
      </c>
      <c r="G110" s="21">
        <v>2.2079E7</v>
      </c>
      <c r="H110" s="1">
        <f t="shared" si="1"/>
        <v>4</v>
      </c>
      <c r="I110" s="1">
        <f t="shared" si="7"/>
        <v>63.11080863</v>
      </c>
    </row>
    <row r="111" ht="15.75" customHeight="1">
      <c r="A111" s="20">
        <v>44657.0</v>
      </c>
      <c r="B111" s="21">
        <v>83.419998</v>
      </c>
      <c r="C111" s="21">
        <v>84.699997</v>
      </c>
      <c r="D111" s="21">
        <v>82.940002</v>
      </c>
      <c r="E111" s="21">
        <v>83.650002</v>
      </c>
      <c r="F111" s="21">
        <v>81.350174</v>
      </c>
      <c r="G111" s="21">
        <v>2.47682E7</v>
      </c>
      <c r="H111" s="1">
        <f t="shared" si="1"/>
        <v>4</v>
      </c>
      <c r="I111" s="1">
        <f t="shared" si="7"/>
        <v>65.19316028</v>
      </c>
    </row>
    <row r="112" ht="15.75" customHeight="1">
      <c r="A112" s="20">
        <v>44664.0</v>
      </c>
      <c r="B112" s="21">
        <v>86.610001</v>
      </c>
      <c r="C112" s="21">
        <v>87.110001</v>
      </c>
      <c r="D112" s="21">
        <v>85.190002</v>
      </c>
      <c r="E112" s="21">
        <v>86.809998</v>
      </c>
      <c r="F112" s="21">
        <v>84.423294</v>
      </c>
      <c r="G112" s="21">
        <v>1.93068E7</v>
      </c>
      <c r="H112" s="1">
        <f t="shared" si="1"/>
        <v>4</v>
      </c>
      <c r="I112" s="1">
        <f t="shared" si="7"/>
        <v>24.14967766</v>
      </c>
    </row>
    <row r="113" ht="15.75" customHeight="1">
      <c r="A113" s="20">
        <v>44671.0</v>
      </c>
      <c r="B113" s="21">
        <v>87.970001</v>
      </c>
      <c r="C113" s="21">
        <v>88.5</v>
      </c>
      <c r="D113" s="21">
        <v>87.300003</v>
      </c>
      <c r="E113" s="21">
        <v>87.959999</v>
      </c>
      <c r="F113" s="21">
        <v>85.541664</v>
      </c>
      <c r="G113" s="21">
        <v>2.06894E7</v>
      </c>
      <c r="H113" s="1">
        <f t="shared" si="1"/>
        <v>4</v>
      </c>
      <c r="I113" s="1">
        <f t="shared" si="7"/>
        <v>14.16943618</v>
      </c>
    </row>
    <row r="114" ht="15.75" customHeight="1">
      <c r="A114" s="20">
        <v>44678.0</v>
      </c>
      <c r="B114" s="21">
        <v>83.389999</v>
      </c>
      <c r="C114" s="21">
        <v>85.480003</v>
      </c>
      <c r="D114" s="21">
        <v>82.279999</v>
      </c>
      <c r="E114" s="21">
        <v>84.639999</v>
      </c>
      <c r="F114" s="21">
        <v>82.312943</v>
      </c>
      <c r="G114" s="21">
        <v>3.2773E7</v>
      </c>
      <c r="H114" s="1">
        <f t="shared" si="1"/>
        <v>4</v>
      </c>
      <c r="I114" s="1">
        <f t="shared" si="7"/>
        <v>50.18633104</v>
      </c>
    </row>
    <row r="115" ht="15.75" customHeight="1">
      <c r="A115" s="20">
        <v>44685.0</v>
      </c>
      <c r="B115" s="21">
        <v>89.5</v>
      </c>
      <c r="C115" s="21">
        <v>91.879997</v>
      </c>
      <c r="D115" s="21">
        <v>88.910004</v>
      </c>
      <c r="E115" s="21">
        <v>91.699997</v>
      </c>
      <c r="F115" s="21">
        <v>89.178841</v>
      </c>
      <c r="G115" s="21">
        <v>4.61884E7</v>
      </c>
      <c r="H115" s="1">
        <f t="shared" si="1"/>
        <v>4</v>
      </c>
      <c r="I115" s="1">
        <f t="shared" si="7"/>
        <v>0.0005872457453</v>
      </c>
    </row>
    <row r="116" ht="15.75" customHeight="1">
      <c r="A116" s="20">
        <v>44692.0</v>
      </c>
      <c r="B116" s="21">
        <v>86.43</v>
      </c>
      <c r="C116" s="21">
        <v>88.940002</v>
      </c>
      <c r="D116" s="21">
        <v>86.279999</v>
      </c>
      <c r="E116" s="21">
        <v>86.790001</v>
      </c>
      <c r="F116" s="21">
        <v>84.403839</v>
      </c>
      <c r="G116" s="21">
        <v>3.30206E7</v>
      </c>
      <c r="H116" s="1">
        <f t="shared" si="1"/>
        <v>4</v>
      </c>
      <c r="I116" s="1">
        <f t="shared" si="7"/>
        <v>24.34661734</v>
      </c>
    </row>
    <row r="117" ht="15.75" customHeight="1">
      <c r="A117" s="20">
        <v>44699.0</v>
      </c>
      <c r="B117" s="21">
        <v>92.510002</v>
      </c>
      <c r="C117" s="21">
        <v>92.919998</v>
      </c>
      <c r="D117" s="21">
        <v>89.830002</v>
      </c>
      <c r="E117" s="21">
        <v>90.650002</v>
      </c>
      <c r="F117" s="21">
        <v>89.060745</v>
      </c>
      <c r="G117" s="21">
        <v>2.54512E7</v>
      </c>
      <c r="H117" s="1">
        <f t="shared" si="1"/>
        <v>4</v>
      </c>
      <c r="I117" s="1">
        <f t="shared" si="7"/>
        <v>1.153966127</v>
      </c>
    </row>
    <row r="118" ht="15.75" customHeight="1">
      <c r="A118" s="20">
        <v>44706.0</v>
      </c>
      <c r="B118" s="21">
        <v>94.580002</v>
      </c>
      <c r="C118" s="21">
        <v>96.529999</v>
      </c>
      <c r="D118" s="21">
        <v>94.470001</v>
      </c>
      <c r="E118" s="21">
        <v>96.300003</v>
      </c>
      <c r="F118" s="21">
        <v>94.611679</v>
      </c>
      <c r="G118" s="21">
        <v>2.99478E7</v>
      </c>
      <c r="H118" s="1">
        <f t="shared" si="1"/>
        <v>4</v>
      </c>
      <c r="I118" s="1">
        <f t="shared" si="7"/>
        <v>20.93769714</v>
      </c>
    </row>
    <row r="119" ht="15.75" customHeight="1">
      <c r="A119" s="20">
        <v>44713.0</v>
      </c>
      <c r="B119" s="21">
        <v>97.019997</v>
      </c>
      <c r="C119" s="21">
        <v>98.709999</v>
      </c>
      <c r="D119" s="21">
        <v>96.620003</v>
      </c>
      <c r="E119" s="21">
        <v>97.839996</v>
      </c>
      <c r="F119" s="21">
        <v>96.12468</v>
      </c>
      <c r="G119" s="21">
        <v>2.58154E7</v>
      </c>
      <c r="H119" s="1">
        <f t="shared" si="1"/>
        <v>4</v>
      </c>
      <c r="I119" s="1">
        <f t="shared" si="7"/>
        <v>37.40259188</v>
      </c>
    </row>
    <row r="120" ht="15.75" customHeight="1">
      <c r="A120" s="20">
        <v>44720.0</v>
      </c>
      <c r="B120" s="21">
        <v>103.489998</v>
      </c>
      <c r="C120" s="21">
        <v>105.57</v>
      </c>
      <c r="D120" s="21">
        <v>102.980003</v>
      </c>
      <c r="E120" s="21">
        <v>104.589996</v>
      </c>
      <c r="F120" s="21">
        <v>102.75634</v>
      </c>
      <c r="G120" s="21">
        <v>3.16132E7</v>
      </c>
      <c r="H120" s="1">
        <f t="shared" si="1"/>
        <v>4</v>
      </c>
      <c r="I120" s="1">
        <f t="shared" si="7"/>
        <v>165.5279308</v>
      </c>
    </row>
    <row r="121" ht="15.75" customHeight="1">
      <c r="A121" s="20">
        <v>44727.0</v>
      </c>
      <c r="B121" s="21">
        <v>95.989998</v>
      </c>
      <c r="C121" s="21">
        <v>96.57</v>
      </c>
      <c r="D121" s="21">
        <v>93.269997</v>
      </c>
      <c r="E121" s="21">
        <v>94.889999</v>
      </c>
      <c r="F121" s="21">
        <v>93.226402</v>
      </c>
      <c r="G121" s="21">
        <v>2.96208E7</v>
      </c>
      <c r="H121" s="1">
        <f t="shared" si="1"/>
        <v>4</v>
      </c>
      <c r="I121" s="1">
        <f t="shared" si="7"/>
        <v>10.02209239</v>
      </c>
    </row>
    <row r="122" ht="15.75" customHeight="1">
      <c r="A122" s="20">
        <v>44734.0</v>
      </c>
      <c r="B122" s="21">
        <v>87.540001</v>
      </c>
      <c r="C122" s="21">
        <v>89.760002</v>
      </c>
      <c r="D122" s="21">
        <v>87.529999</v>
      </c>
      <c r="E122" s="21">
        <v>87.860001</v>
      </c>
      <c r="F122" s="21">
        <v>86.319649</v>
      </c>
      <c r="G122" s="21">
        <v>2.97272E7</v>
      </c>
      <c r="H122" s="1">
        <f t="shared" si="1"/>
        <v>4</v>
      </c>
      <c r="I122" s="1">
        <f t="shared" si="7"/>
        <v>14.93226695</v>
      </c>
    </row>
    <row r="123" ht="15.75" customHeight="1">
      <c r="A123" s="20">
        <v>44741.0</v>
      </c>
      <c r="B123" s="21">
        <v>92.980003</v>
      </c>
      <c r="C123" s="21">
        <v>93.199997</v>
      </c>
      <c r="D123" s="21">
        <v>87.760002</v>
      </c>
      <c r="E123" s="21">
        <v>88.120003</v>
      </c>
      <c r="F123" s="21">
        <v>86.575096</v>
      </c>
      <c r="G123" s="21">
        <v>2.54009E7</v>
      </c>
      <c r="H123" s="1">
        <f t="shared" si="1"/>
        <v>4</v>
      </c>
      <c r="I123" s="1">
        <f t="shared" si="7"/>
        <v>12.99045338</v>
      </c>
    </row>
    <row r="124" ht="15.75" customHeight="1">
      <c r="A124" s="20">
        <v>44748.0</v>
      </c>
      <c r="B124" s="21">
        <v>83.760002</v>
      </c>
      <c r="C124" s="21">
        <v>85.230003</v>
      </c>
      <c r="D124" s="21">
        <v>81.010002</v>
      </c>
      <c r="E124" s="21">
        <v>83.279999</v>
      </c>
      <c r="F124" s="21">
        <v>81.819946</v>
      </c>
      <c r="G124" s="21">
        <v>3.33757E7</v>
      </c>
      <c r="H124" s="1">
        <f t="shared" si="1"/>
        <v>4</v>
      </c>
      <c r="I124" s="1">
        <f t="shared" si="7"/>
        <v>71.30503978</v>
      </c>
    </row>
    <row r="125" ht="15.75" customHeight="1">
      <c r="A125" s="20">
        <v>44755.0</v>
      </c>
      <c r="B125" s="21">
        <v>83.379997</v>
      </c>
      <c r="C125" s="21">
        <v>86.309998</v>
      </c>
      <c r="D125" s="21">
        <v>83.300003</v>
      </c>
      <c r="E125" s="21">
        <v>84.839996</v>
      </c>
      <c r="F125" s="21">
        <v>83.352592</v>
      </c>
      <c r="G125" s="21">
        <v>1.99286E7</v>
      </c>
      <c r="H125" s="1">
        <f t="shared" si="1"/>
        <v>4</v>
      </c>
      <c r="I125" s="1">
        <f t="shared" si="7"/>
        <v>47.39267988</v>
      </c>
    </row>
    <row r="126" ht="15.75" customHeight="1">
      <c r="A126" s="20">
        <v>44762.0</v>
      </c>
      <c r="B126" s="21">
        <v>87.580002</v>
      </c>
      <c r="C126" s="21">
        <v>89.650002</v>
      </c>
      <c r="D126" s="21">
        <v>87.25</v>
      </c>
      <c r="E126" s="21">
        <v>89.239998</v>
      </c>
      <c r="F126" s="21">
        <v>87.675453</v>
      </c>
      <c r="G126" s="21">
        <v>1.65844E7</v>
      </c>
      <c r="H126" s="1">
        <f t="shared" si="1"/>
        <v>4</v>
      </c>
      <c r="I126" s="1">
        <f t="shared" si="7"/>
        <v>6.171409394</v>
      </c>
    </row>
    <row r="127" ht="15.75" customHeight="1">
      <c r="A127" s="20">
        <v>44769.0</v>
      </c>
      <c r="B127" s="21">
        <v>90.279999</v>
      </c>
      <c r="C127" s="21">
        <v>92.0</v>
      </c>
      <c r="D127" s="21">
        <v>89.400002</v>
      </c>
      <c r="E127" s="21">
        <v>91.57</v>
      </c>
      <c r="F127" s="21">
        <v>89.964615</v>
      </c>
      <c r="G127" s="21">
        <v>1.8047E7</v>
      </c>
      <c r="H127" s="1">
        <f t="shared" si="1"/>
        <v>4</v>
      </c>
      <c r="I127" s="1">
        <f t="shared" si="7"/>
        <v>0.02378694036</v>
      </c>
    </row>
    <row r="128" ht="15.75" customHeight="1">
      <c r="A128" s="20">
        <v>44776.0</v>
      </c>
      <c r="B128" s="21">
        <v>94.419998</v>
      </c>
      <c r="C128" s="21">
        <v>94.419998</v>
      </c>
      <c r="D128" s="21">
        <v>90.790001</v>
      </c>
      <c r="E128" s="21">
        <v>91.019997</v>
      </c>
      <c r="F128" s="21">
        <v>89.424248</v>
      </c>
      <c r="G128" s="21">
        <v>2.35808E7</v>
      </c>
      <c r="H128" s="1">
        <f t="shared" si="1"/>
        <v>4</v>
      </c>
      <c r="I128" s="1">
        <f t="shared" si="7"/>
        <v>0.495944335</v>
      </c>
    </row>
    <row r="129" ht="15.75" customHeight="1">
      <c r="A129" s="20">
        <v>44783.0</v>
      </c>
      <c r="B129" s="21">
        <v>90.68</v>
      </c>
      <c r="C129" s="21">
        <v>91.790001</v>
      </c>
      <c r="D129" s="21">
        <v>89.190002</v>
      </c>
      <c r="E129" s="21">
        <v>91.449997</v>
      </c>
      <c r="F129" s="21">
        <v>89.84671</v>
      </c>
      <c r="G129" s="21">
        <v>1.8302E7</v>
      </c>
      <c r="H129" s="1">
        <f t="shared" si="1"/>
        <v>4</v>
      </c>
      <c r="I129" s="1">
        <f t="shared" si="7"/>
        <v>0.07520382267</v>
      </c>
    </row>
    <row r="130" ht="15.75" customHeight="1">
      <c r="A130" s="20">
        <v>44790.0</v>
      </c>
      <c r="B130" s="21">
        <v>91.269997</v>
      </c>
      <c r="C130" s="21">
        <v>93.209999</v>
      </c>
      <c r="D130" s="21">
        <v>90.919998</v>
      </c>
      <c r="E130" s="21">
        <v>92.199997</v>
      </c>
      <c r="F130" s="21">
        <v>91.463692</v>
      </c>
      <c r="G130" s="21">
        <v>1.3678E7</v>
      </c>
      <c r="H130" s="1">
        <f t="shared" si="1"/>
        <v>4</v>
      </c>
      <c r="I130" s="1">
        <f t="shared" si="7"/>
        <v>0.2263540919</v>
      </c>
    </row>
    <row r="131" ht="15.75" customHeight="1">
      <c r="A131" s="20">
        <v>44797.0</v>
      </c>
      <c r="B131" s="21">
        <v>98.010002</v>
      </c>
      <c r="C131" s="21">
        <v>98.970001</v>
      </c>
      <c r="D131" s="21">
        <v>97.360001</v>
      </c>
      <c r="E131" s="21">
        <v>98.580002</v>
      </c>
      <c r="F131" s="21">
        <v>97.792747</v>
      </c>
      <c r="G131" s="21">
        <v>1.70503E7</v>
      </c>
      <c r="H131" s="1">
        <f t="shared" si="1"/>
        <v>4</v>
      </c>
      <c r="I131" s="1">
        <f t="shared" si="7"/>
        <v>47.00160761</v>
      </c>
    </row>
    <row r="132" ht="15.75" customHeight="1">
      <c r="A132" s="20">
        <v>44804.0</v>
      </c>
      <c r="B132" s="21">
        <v>94.029999</v>
      </c>
      <c r="C132" s="21">
        <v>96.839996</v>
      </c>
      <c r="D132" s="21">
        <v>93.589996</v>
      </c>
      <c r="E132" s="21">
        <v>95.589996</v>
      </c>
      <c r="F132" s="21">
        <v>94.826622</v>
      </c>
      <c r="G132" s="21">
        <v>1.83409E7</v>
      </c>
      <c r="H132" s="1">
        <f t="shared" si="1"/>
        <v>4</v>
      </c>
      <c r="I132" s="1">
        <f t="shared" si="7"/>
        <v>14.94414558</v>
      </c>
    </row>
    <row r="133" ht="15.75" customHeight="1">
      <c r="A133" s="20">
        <v>44811.0</v>
      </c>
      <c r="B133" s="21">
        <v>93.190002</v>
      </c>
      <c r="C133" s="21">
        <v>94.589996</v>
      </c>
      <c r="D133" s="21">
        <v>92.300003</v>
      </c>
      <c r="E133" s="21">
        <v>94.139999</v>
      </c>
      <c r="F133" s="21">
        <v>93.388199</v>
      </c>
      <c r="G133" s="21">
        <v>1.62747E7</v>
      </c>
      <c r="H133" s="1">
        <f t="shared" si="1"/>
        <v>4</v>
      </c>
      <c r="I133" s="1">
        <f t="shared" si="7"/>
        <v>5.835939118</v>
      </c>
    </row>
    <row r="134" ht="15.75" customHeight="1">
      <c r="A134" s="20">
        <v>44818.0</v>
      </c>
      <c r="B134" s="21">
        <v>96.190002</v>
      </c>
      <c r="C134" s="21">
        <v>98.559998</v>
      </c>
      <c r="D134" s="21">
        <v>96.150002</v>
      </c>
      <c r="E134" s="21">
        <v>97.669998</v>
      </c>
      <c r="F134" s="21">
        <v>96.890007</v>
      </c>
      <c r="G134" s="21">
        <v>2.26557E7</v>
      </c>
      <c r="H134" s="1">
        <f t="shared" si="1"/>
        <v>4</v>
      </c>
      <c r="I134" s="1">
        <f t="shared" si="7"/>
        <v>35.35215528</v>
      </c>
    </row>
    <row r="135" ht="15.75" customHeight="1">
      <c r="A135" s="20">
        <v>44825.0</v>
      </c>
      <c r="B135" s="21">
        <v>93.57</v>
      </c>
      <c r="C135" s="21">
        <v>93.879997</v>
      </c>
      <c r="D135" s="21">
        <v>90.870003</v>
      </c>
      <c r="E135" s="21">
        <v>90.949997</v>
      </c>
      <c r="F135" s="21">
        <v>90.223679</v>
      </c>
      <c r="G135" s="21">
        <v>1.73324E7</v>
      </c>
      <c r="H135" s="1">
        <f t="shared" si="1"/>
        <v>4</v>
      </c>
      <c r="I135" s="1">
        <f t="shared" si="7"/>
        <v>0.5994369765</v>
      </c>
    </row>
    <row r="136" ht="15.75" customHeight="1">
      <c r="A136" s="20">
        <v>44832.0</v>
      </c>
      <c r="B136" s="21">
        <v>86.120003</v>
      </c>
      <c r="C136" s="21">
        <v>89.300003</v>
      </c>
      <c r="D136" s="21">
        <v>85.919998</v>
      </c>
      <c r="E136" s="21">
        <v>88.860001</v>
      </c>
      <c r="F136" s="21">
        <v>88.150368</v>
      </c>
      <c r="G136" s="21">
        <v>1.95433E7</v>
      </c>
      <c r="H136" s="1">
        <f t="shared" si="1"/>
        <v>4</v>
      </c>
      <c r="I136" s="1">
        <f t="shared" si="7"/>
        <v>8.203808646</v>
      </c>
    </row>
    <row r="137" ht="15.75" customHeight="1">
      <c r="A137" s="20">
        <v>44839.0</v>
      </c>
      <c r="B137" s="21">
        <v>95.75</v>
      </c>
      <c r="C137" s="21">
        <v>99.989998</v>
      </c>
      <c r="D137" s="21">
        <v>95.660004</v>
      </c>
      <c r="E137" s="21">
        <v>99.120003</v>
      </c>
      <c r="F137" s="21">
        <v>98.328438</v>
      </c>
      <c r="G137" s="21">
        <v>3.48577E7</v>
      </c>
      <c r="H137" s="1">
        <f t="shared" si="1"/>
        <v>4</v>
      </c>
      <c r="I137" s="1">
        <f t="shared" si="7"/>
        <v>54.69745599</v>
      </c>
    </row>
    <row r="138" ht="15.75" customHeight="1">
      <c r="A138" s="20">
        <v>44846.0</v>
      </c>
      <c r="B138" s="21">
        <v>97.5</v>
      </c>
      <c r="C138" s="21">
        <v>98.910004</v>
      </c>
      <c r="D138" s="21">
        <v>97.230003</v>
      </c>
      <c r="E138" s="21">
        <v>98.43</v>
      </c>
      <c r="F138" s="21">
        <v>97.643944</v>
      </c>
      <c r="G138" s="21">
        <v>1.26358E7</v>
      </c>
      <c r="H138" s="1">
        <f t="shared" si="1"/>
        <v>4</v>
      </c>
      <c r="I138" s="1">
        <f t="shared" si="7"/>
        <v>44.96734923</v>
      </c>
    </row>
    <row r="139" ht="15.75" customHeight="1">
      <c r="A139" s="20">
        <v>44853.0</v>
      </c>
      <c r="B139" s="21">
        <v>101.25</v>
      </c>
      <c r="C139" s="21">
        <v>103.989998</v>
      </c>
      <c r="D139" s="21">
        <v>101.230003</v>
      </c>
      <c r="E139" s="21">
        <v>103.790001</v>
      </c>
      <c r="F139" s="21">
        <v>102.961136</v>
      </c>
      <c r="G139" s="21">
        <v>2.09217E7</v>
      </c>
      <c r="H139" s="1">
        <f t="shared" si="1"/>
        <v>4</v>
      </c>
      <c r="I139" s="1">
        <f t="shared" si="7"/>
        <v>145.5828261</v>
      </c>
    </row>
    <row r="140" ht="15.75" customHeight="1">
      <c r="A140" s="20">
        <v>44860.0</v>
      </c>
      <c r="B140" s="21">
        <v>106.260002</v>
      </c>
      <c r="C140" s="21">
        <v>107.830002</v>
      </c>
      <c r="D140" s="21">
        <v>106.0</v>
      </c>
      <c r="E140" s="21">
        <v>107.139999</v>
      </c>
      <c r="F140" s="21">
        <v>106.284386</v>
      </c>
      <c r="G140" s="21">
        <v>1.73838E7</v>
      </c>
      <c r="H140" s="1">
        <f t="shared" si="1"/>
        <v>4</v>
      </c>
      <c r="I140" s="1">
        <f t="shared" si="7"/>
        <v>237.6459291</v>
      </c>
    </row>
    <row r="141" ht="15.75" customHeight="1">
      <c r="A141" s="20">
        <v>44867.0</v>
      </c>
      <c r="B141" s="21">
        <v>111.580002</v>
      </c>
      <c r="C141" s="21">
        <v>112.099998</v>
      </c>
      <c r="D141" s="21">
        <v>109.309998</v>
      </c>
      <c r="E141" s="21">
        <v>109.610001</v>
      </c>
      <c r="F141" s="21">
        <v>108.734657</v>
      </c>
      <c r="G141" s="21">
        <v>2.06542E7</v>
      </c>
      <c r="H141" s="1">
        <f t="shared" si="1"/>
        <v>4</v>
      </c>
      <c r="I141" s="1">
        <f t="shared" si="7"/>
        <v>319.9007988</v>
      </c>
    </row>
    <row r="142" ht="15.75" customHeight="1">
      <c r="A142" s="20">
        <v>44874.0</v>
      </c>
      <c r="B142" s="21">
        <v>113.099998</v>
      </c>
      <c r="C142" s="21">
        <v>113.279999</v>
      </c>
      <c r="D142" s="21">
        <v>108.57</v>
      </c>
      <c r="E142" s="21">
        <v>108.900002</v>
      </c>
      <c r="F142" s="21">
        <v>108.030334</v>
      </c>
      <c r="G142" s="21">
        <v>1.95228E7</v>
      </c>
      <c r="H142" s="1">
        <f t="shared" si="1"/>
        <v>4</v>
      </c>
      <c r="I142" s="1">
        <f t="shared" si="7"/>
        <v>295.0071385</v>
      </c>
    </row>
    <row r="143" ht="15.75" customHeight="1">
      <c r="A143" s="20">
        <v>44881.0</v>
      </c>
      <c r="B143" s="21">
        <v>113.440002</v>
      </c>
      <c r="C143" s="21">
        <v>114.260002</v>
      </c>
      <c r="D143" s="21">
        <v>111.860001</v>
      </c>
      <c r="E143" s="21">
        <v>112.910004</v>
      </c>
      <c r="F143" s="21">
        <v>112.910004</v>
      </c>
      <c r="G143" s="21">
        <v>1.3591E7</v>
      </c>
      <c r="H143" s="1">
        <f t="shared" si="1"/>
        <v>4</v>
      </c>
      <c r="I143" s="1">
        <f t="shared" si="7"/>
        <v>448.8370135</v>
      </c>
    </row>
    <row r="144" ht="15.75" customHeight="1">
      <c r="A144" s="20">
        <v>44888.0</v>
      </c>
      <c r="B144" s="21">
        <v>112.32</v>
      </c>
      <c r="C144" s="21">
        <v>113.949997</v>
      </c>
      <c r="D144" s="21">
        <v>112.099998</v>
      </c>
      <c r="E144" s="21">
        <v>113.610001</v>
      </c>
      <c r="F144" s="21">
        <v>113.610001</v>
      </c>
      <c r="G144" s="21">
        <v>1.15467E7</v>
      </c>
      <c r="H144" s="1">
        <f t="shared" si="1"/>
        <v>4</v>
      </c>
      <c r="I144" s="1">
        <f t="shared" si="7"/>
        <v>478.9869655</v>
      </c>
    </row>
    <row r="145" ht="15.75" customHeight="1">
      <c r="A145" s="20">
        <v>44895.0</v>
      </c>
      <c r="B145" s="21">
        <v>111.540001</v>
      </c>
      <c r="C145" s="21">
        <v>111.900002</v>
      </c>
      <c r="D145" s="21">
        <v>109.779999</v>
      </c>
      <c r="E145" s="21">
        <v>111.339996</v>
      </c>
      <c r="F145" s="21">
        <v>111.339996</v>
      </c>
      <c r="G145" s="21">
        <v>2.31581E7</v>
      </c>
      <c r="H145" s="1">
        <f t="shared" si="1"/>
        <v>4</v>
      </c>
      <c r="I145" s="1">
        <f t="shared" si="7"/>
        <v>384.7782697</v>
      </c>
    </row>
    <row r="146" ht="15.75" customHeight="1">
      <c r="A146" s="20">
        <v>44902.0</v>
      </c>
      <c r="B146" s="21">
        <v>103.779999</v>
      </c>
      <c r="C146" s="21">
        <v>104.849998</v>
      </c>
      <c r="D146" s="21">
        <v>102.370003</v>
      </c>
      <c r="E146" s="21">
        <v>103.650002</v>
      </c>
      <c r="F146" s="21">
        <v>103.650002</v>
      </c>
      <c r="G146" s="21">
        <v>2.00617E7</v>
      </c>
      <c r="H146" s="1">
        <f t="shared" si="1"/>
        <v>4</v>
      </c>
      <c r="I146" s="1">
        <f t="shared" si="7"/>
        <v>142.2240341</v>
      </c>
    </row>
    <row r="147" ht="15.75" customHeight="1">
      <c r="A147" s="20">
        <v>44909.0</v>
      </c>
      <c r="B147" s="21">
        <v>107.989998</v>
      </c>
      <c r="C147" s="21">
        <v>108.300003</v>
      </c>
      <c r="D147" s="21">
        <v>105.75</v>
      </c>
      <c r="E147" s="21">
        <v>106.459999</v>
      </c>
      <c r="F147" s="21">
        <v>106.459999</v>
      </c>
      <c r="G147" s="21">
        <v>1.75973E7</v>
      </c>
      <c r="H147" s="1">
        <f t="shared" si="1"/>
        <v>4</v>
      </c>
      <c r="I147" s="1">
        <f t="shared" si="7"/>
        <v>217.1428835</v>
      </c>
    </row>
    <row r="148" ht="15.75" customHeight="1">
      <c r="A148" s="20">
        <v>44916.0</v>
      </c>
      <c r="B148" s="21">
        <v>108.290001</v>
      </c>
      <c r="C148" s="21">
        <v>108.589996</v>
      </c>
      <c r="D148" s="21">
        <v>107.160004</v>
      </c>
      <c r="E148" s="21">
        <v>108.059998</v>
      </c>
      <c r="F148" s="21">
        <v>108.059998</v>
      </c>
      <c r="G148" s="21">
        <v>1.35654E7</v>
      </c>
      <c r="H148" s="1">
        <f t="shared" si="1"/>
        <v>4</v>
      </c>
      <c r="I148" s="1">
        <f t="shared" si="7"/>
        <v>266.8573111</v>
      </c>
    </row>
    <row r="149" ht="15.75" customHeight="1">
      <c r="A149" s="20">
        <v>44923.0</v>
      </c>
      <c r="B149" s="21">
        <v>109.910004</v>
      </c>
      <c r="C149" s="21">
        <v>110.0</v>
      </c>
      <c r="D149" s="21">
        <v>107.900002</v>
      </c>
      <c r="E149" s="21">
        <v>108.379997</v>
      </c>
      <c r="F149" s="21">
        <v>108.379997</v>
      </c>
      <c r="G149" s="21">
        <v>1.07021E7</v>
      </c>
      <c r="H149" s="1">
        <f t="shared" si="1"/>
        <v>4</v>
      </c>
      <c r="I149" s="1">
        <f t="shared" si="7"/>
        <v>277.4145692</v>
      </c>
    </row>
    <row r="150" ht="15.75" customHeight="1">
      <c r="A150" s="20">
        <v>44567.0</v>
      </c>
      <c r="B150" s="21">
        <v>68.0</v>
      </c>
      <c r="C150" s="21">
        <v>68.480003</v>
      </c>
      <c r="D150" s="21">
        <v>67.07</v>
      </c>
      <c r="E150" s="21">
        <v>68.32</v>
      </c>
      <c r="F150" s="21">
        <v>65.71315</v>
      </c>
      <c r="G150" s="21">
        <v>3.06685E7</v>
      </c>
      <c r="H150" s="1">
        <f t="shared" si="1"/>
        <v>5</v>
      </c>
      <c r="I150" s="1">
        <f t="shared" ref="I150:I200" si="8">(E150-$L$7)^2</f>
        <v>528.1434833</v>
      </c>
    </row>
    <row r="151" ht="15.75" customHeight="1">
      <c r="A151" s="20">
        <v>44574.0</v>
      </c>
      <c r="B151" s="21">
        <v>71.120003</v>
      </c>
      <c r="C151" s="21">
        <v>71.580002</v>
      </c>
      <c r="D151" s="21">
        <v>70.309998</v>
      </c>
      <c r="E151" s="21">
        <v>70.629997</v>
      </c>
      <c r="F151" s="21">
        <v>67.935013</v>
      </c>
      <c r="G151" s="21">
        <v>2.10432E7</v>
      </c>
      <c r="H151" s="1">
        <f t="shared" si="1"/>
        <v>5</v>
      </c>
      <c r="I151" s="1">
        <f t="shared" si="8"/>
        <v>427.3057663</v>
      </c>
    </row>
    <row r="152" ht="15.75" customHeight="1">
      <c r="A152" s="20">
        <v>44581.0</v>
      </c>
      <c r="B152" s="21">
        <v>72.5</v>
      </c>
      <c r="C152" s="21">
        <v>74.370003</v>
      </c>
      <c r="D152" s="21">
        <v>72.260002</v>
      </c>
      <c r="E152" s="21">
        <v>73.269997</v>
      </c>
      <c r="F152" s="21">
        <v>70.474281</v>
      </c>
      <c r="G152" s="21">
        <v>2.67746E7</v>
      </c>
      <c r="H152" s="1">
        <f t="shared" si="1"/>
        <v>5</v>
      </c>
      <c r="I152" s="1">
        <f t="shared" si="8"/>
        <v>325.1305035</v>
      </c>
    </row>
    <row r="153" ht="15.75" customHeight="1">
      <c r="A153" s="20">
        <v>44588.0</v>
      </c>
      <c r="B153" s="21">
        <v>75.459999</v>
      </c>
      <c r="C153" s="21">
        <v>76.010002</v>
      </c>
      <c r="D153" s="21">
        <v>73.989998</v>
      </c>
      <c r="E153" s="21">
        <v>75.120003</v>
      </c>
      <c r="F153" s="21">
        <v>72.253685</v>
      </c>
      <c r="G153" s="21">
        <v>2.91747E7</v>
      </c>
      <c r="H153" s="1">
        <f t="shared" si="1"/>
        <v>5</v>
      </c>
      <c r="I153" s="1">
        <f t="shared" si="8"/>
        <v>261.8367198</v>
      </c>
    </row>
    <row r="154" ht="15.75" customHeight="1">
      <c r="A154" s="20">
        <v>44595.0</v>
      </c>
      <c r="B154" s="21">
        <v>80.089996</v>
      </c>
      <c r="C154" s="21">
        <v>80.309998</v>
      </c>
      <c r="D154" s="21">
        <v>79.019997</v>
      </c>
      <c r="E154" s="21">
        <v>79.68</v>
      </c>
      <c r="F154" s="21">
        <v>76.639694</v>
      </c>
      <c r="G154" s="21">
        <v>2.85294E7</v>
      </c>
      <c r="H154" s="1">
        <f t="shared" si="1"/>
        <v>5</v>
      </c>
      <c r="I154" s="1">
        <f t="shared" si="8"/>
        <v>135.0562995</v>
      </c>
    </row>
    <row r="155" ht="15.75" customHeight="1">
      <c r="A155" s="20">
        <v>44602.0</v>
      </c>
      <c r="B155" s="21">
        <v>78.720001</v>
      </c>
      <c r="C155" s="21">
        <v>79.68</v>
      </c>
      <c r="D155" s="21">
        <v>77.790001</v>
      </c>
      <c r="E155" s="21">
        <v>78.239998</v>
      </c>
      <c r="F155" s="21">
        <v>76.088913</v>
      </c>
      <c r="G155" s="21">
        <v>2.85277E7</v>
      </c>
      <c r="H155" s="1">
        <f t="shared" si="1"/>
        <v>5</v>
      </c>
      <c r="I155" s="1">
        <f t="shared" si="8"/>
        <v>170.5995046</v>
      </c>
    </row>
    <row r="156" ht="15.75" customHeight="1">
      <c r="A156" s="20">
        <v>44609.0</v>
      </c>
      <c r="B156" s="21">
        <v>78.480003</v>
      </c>
      <c r="C156" s="21">
        <v>79.120003</v>
      </c>
      <c r="D156" s="21">
        <v>77.949997</v>
      </c>
      <c r="E156" s="21">
        <v>78.230003</v>
      </c>
      <c r="F156" s="21">
        <v>76.079185</v>
      </c>
      <c r="G156" s="21">
        <v>2.37388E7</v>
      </c>
      <c r="H156" s="1">
        <f t="shared" si="1"/>
        <v>5</v>
      </c>
      <c r="I156" s="1">
        <f t="shared" si="8"/>
        <v>170.8607014</v>
      </c>
    </row>
    <row r="157" ht="15.75" customHeight="1">
      <c r="A157" s="20">
        <v>44616.0</v>
      </c>
      <c r="B157" s="21">
        <v>79.0</v>
      </c>
      <c r="C157" s="21">
        <v>79.029999</v>
      </c>
      <c r="D157" s="21">
        <v>74.029999</v>
      </c>
      <c r="E157" s="21">
        <v>75.800003</v>
      </c>
      <c r="F157" s="21">
        <v>73.716003</v>
      </c>
      <c r="G157" s="21">
        <v>4.61999E7</v>
      </c>
      <c r="H157" s="1">
        <f t="shared" si="1"/>
        <v>5</v>
      </c>
      <c r="I157" s="1">
        <f t="shared" si="8"/>
        <v>240.2924573</v>
      </c>
    </row>
    <row r="158" ht="15.75" customHeight="1">
      <c r="A158" s="20">
        <v>44623.0</v>
      </c>
      <c r="B158" s="21">
        <v>79.860001</v>
      </c>
      <c r="C158" s="21">
        <v>81.769997</v>
      </c>
      <c r="D158" s="21">
        <v>79.629997</v>
      </c>
      <c r="E158" s="21">
        <v>81.040001</v>
      </c>
      <c r="F158" s="21">
        <v>78.811935</v>
      </c>
      <c r="G158" s="21">
        <v>3.01966E7</v>
      </c>
      <c r="H158" s="1">
        <f t="shared" si="1"/>
        <v>5</v>
      </c>
      <c r="I158" s="1">
        <f t="shared" si="8"/>
        <v>105.2957457</v>
      </c>
    </row>
    <row r="159" ht="15.75" customHeight="1">
      <c r="A159" s="20">
        <v>44630.0</v>
      </c>
      <c r="B159" s="21">
        <v>84.010002</v>
      </c>
      <c r="C159" s="21">
        <v>85.68</v>
      </c>
      <c r="D159" s="21">
        <v>82.900002</v>
      </c>
      <c r="E159" s="21">
        <v>85.360001</v>
      </c>
      <c r="F159" s="21">
        <v>83.013153</v>
      </c>
      <c r="G159" s="21">
        <v>4.46442E7</v>
      </c>
      <c r="H159" s="1">
        <f t="shared" si="1"/>
        <v>5</v>
      </c>
      <c r="I159" s="1">
        <f t="shared" si="8"/>
        <v>35.29989565</v>
      </c>
    </row>
    <row r="160" ht="15.75" customHeight="1">
      <c r="A160" s="20">
        <v>44637.0</v>
      </c>
      <c r="B160" s="21">
        <v>78.18</v>
      </c>
      <c r="C160" s="21">
        <v>79.150002</v>
      </c>
      <c r="D160" s="21">
        <v>77.07</v>
      </c>
      <c r="E160" s="21">
        <v>78.980003</v>
      </c>
      <c r="F160" s="21">
        <v>76.808563</v>
      </c>
      <c r="G160" s="21">
        <v>3.40419E7</v>
      </c>
      <c r="H160" s="1">
        <f t="shared" si="1"/>
        <v>5</v>
      </c>
      <c r="I160" s="1">
        <f t="shared" si="8"/>
        <v>151.8161471</v>
      </c>
    </row>
    <row r="161" ht="15.75" customHeight="1">
      <c r="A161" s="20">
        <v>44644.0</v>
      </c>
      <c r="B161" s="21">
        <v>83.459999</v>
      </c>
      <c r="C161" s="21">
        <v>84.650002</v>
      </c>
      <c r="D161" s="21">
        <v>82.75</v>
      </c>
      <c r="E161" s="21">
        <v>83.379997</v>
      </c>
      <c r="F161" s="21">
        <v>81.087593</v>
      </c>
      <c r="G161" s="21">
        <v>1.98716E7</v>
      </c>
      <c r="H161" s="1">
        <f t="shared" si="1"/>
        <v>5</v>
      </c>
      <c r="I161" s="1">
        <f t="shared" si="8"/>
        <v>62.74819028</v>
      </c>
    </row>
    <row r="162" ht="15.75" customHeight="1">
      <c r="A162" s="20">
        <v>44651.0</v>
      </c>
      <c r="B162" s="21">
        <v>82.870003</v>
      </c>
      <c r="C162" s="21">
        <v>84.400002</v>
      </c>
      <c r="D162" s="21">
        <v>82.550003</v>
      </c>
      <c r="E162" s="21">
        <v>82.589996</v>
      </c>
      <c r="F162" s="21">
        <v>80.319305</v>
      </c>
      <c r="G162" s="21">
        <v>2.78615E7</v>
      </c>
      <c r="H162" s="1">
        <f t="shared" si="1"/>
        <v>5</v>
      </c>
      <c r="I162" s="1">
        <f t="shared" si="8"/>
        <v>75.88808104</v>
      </c>
    </row>
    <row r="163" ht="15.75" customHeight="1">
      <c r="A163" s="20">
        <v>44658.0</v>
      </c>
      <c r="B163" s="21">
        <v>83.830002</v>
      </c>
      <c r="C163" s="21">
        <v>85.440002</v>
      </c>
      <c r="D163" s="21">
        <v>82.709999</v>
      </c>
      <c r="E163" s="21">
        <v>85.050003</v>
      </c>
      <c r="F163" s="21">
        <v>82.711678</v>
      </c>
      <c r="G163" s="21">
        <v>2.6122E7</v>
      </c>
      <c r="H163" s="1">
        <f t="shared" si="1"/>
        <v>5</v>
      </c>
      <c r="I163" s="1">
        <f t="shared" si="8"/>
        <v>39.07962099</v>
      </c>
    </row>
    <row r="164" ht="15.75" customHeight="1">
      <c r="A164" s="20">
        <v>44665.0</v>
      </c>
      <c r="B164" s="21">
        <v>86.669998</v>
      </c>
      <c r="C164" s="21">
        <v>88.459999</v>
      </c>
      <c r="D164" s="21">
        <v>86.230003</v>
      </c>
      <c r="E164" s="21">
        <v>87.830002</v>
      </c>
      <c r="F164" s="21">
        <v>85.415245</v>
      </c>
      <c r="G164" s="21">
        <v>2.45664E7</v>
      </c>
      <c r="H164" s="1">
        <f t="shared" si="1"/>
        <v>5</v>
      </c>
      <c r="I164" s="1">
        <f t="shared" si="8"/>
        <v>12.05041335</v>
      </c>
    </row>
    <row r="165" ht="15.75" customHeight="1">
      <c r="A165" s="20">
        <v>44672.0</v>
      </c>
      <c r="B165" s="21">
        <v>88.949997</v>
      </c>
      <c r="C165" s="21">
        <v>89.800003</v>
      </c>
      <c r="D165" s="21">
        <v>86.790001</v>
      </c>
      <c r="E165" s="21">
        <v>87.029999</v>
      </c>
      <c r="F165" s="21">
        <v>84.637238</v>
      </c>
      <c r="G165" s="21">
        <v>2.90109E7</v>
      </c>
      <c r="H165" s="1">
        <f t="shared" si="1"/>
        <v>5</v>
      </c>
      <c r="I165" s="1">
        <f t="shared" si="8"/>
        <v>18.24463183</v>
      </c>
    </row>
    <row r="166" ht="15.75" customHeight="1">
      <c r="A166" s="20">
        <v>44679.0</v>
      </c>
      <c r="B166" s="21">
        <v>84.879997</v>
      </c>
      <c r="C166" s="21">
        <v>88.139999</v>
      </c>
      <c r="D166" s="21">
        <v>84.07</v>
      </c>
      <c r="E166" s="21">
        <v>87.199997</v>
      </c>
      <c r="F166" s="21">
        <v>84.802567</v>
      </c>
      <c r="G166" s="21">
        <v>3.36838E7</v>
      </c>
      <c r="H166" s="1">
        <f t="shared" si="1"/>
        <v>5</v>
      </c>
      <c r="I166" s="1">
        <f t="shared" si="8"/>
        <v>16.82128123</v>
      </c>
    </row>
    <row r="167" ht="15.75" customHeight="1">
      <c r="A167" s="20">
        <v>44686.0</v>
      </c>
      <c r="B167" s="21">
        <v>92.040001</v>
      </c>
      <c r="C167" s="21">
        <v>92.050003</v>
      </c>
      <c r="D167" s="21">
        <v>88.389999</v>
      </c>
      <c r="E167" s="21">
        <v>90.309998</v>
      </c>
      <c r="F167" s="21">
        <v>87.827057</v>
      </c>
      <c r="G167" s="21">
        <v>4.10134E7</v>
      </c>
      <c r="H167" s="1">
        <f t="shared" si="1"/>
        <v>5</v>
      </c>
      <c r="I167" s="1">
        <f t="shared" si="8"/>
        <v>0.9828234576</v>
      </c>
    </row>
    <row r="168" ht="15.75" customHeight="1">
      <c r="A168" s="20">
        <v>44693.0</v>
      </c>
      <c r="B168" s="21">
        <v>85.949997</v>
      </c>
      <c r="C168" s="21">
        <v>86.379997</v>
      </c>
      <c r="D168" s="21">
        <v>83.400002</v>
      </c>
      <c r="E168" s="21">
        <v>86.300003</v>
      </c>
      <c r="F168" s="21">
        <v>84.787003</v>
      </c>
      <c r="G168" s="21">
        <v>2.94915E7</v>
      </c>
      <c r="H168" s="1">
        <f t="shared" si="1"/>
        <v>5</v>
      </c>
      <c r="I168" s="1">
        <f t="shared" si="8"/>
        <v>25.01369717</v>
      </c>
    </row>
    <row r="169" ht="15.75" customHeight="1">
      <c r="A169" s="20">
        <v>44700.0</v>
      </c>
      <c r="B169" s="21">
        <v>89.0</v>
      </c>
      <c r="C169" s="21">
        <v>92.300003</v>
      </c>
      <c r="D169" s="21">
        <v>89.0</v>
      </c>
      <c r="E169" s="21">
        <v>91.139999</v>
      </c>
      <c r="F169" s="21">
        <v>89.542152</v>
      </c>
      <c r="G169" s="21">
        <v>2.43874E7</v>
      </c>
      <c r="H169" s="1">
        <f t="shared" si="1"/>
        <v>5</v>
      </c>
      <c r="I169" s="1">
        <f t="shared" si="8"/>
        <v>0.02604141599</v>
      </c>
    </row>
    <row r="170" ht="15.75" customHeight="1">
      <c r="A170" s="20">
        <v>44707.0</v>
      </c>
      <c r="B170" s="21">
        <v>96.599998</v>
      </c>
      <c r="C170" s="21">
        <v>97.43</v>
      </c>
      <c r="D170" s="21">
        <v>96.199997</v>
      </c>
      <c r="E170" s="21">
        <v>96.639999</v>
      </c>
      <c r="F170" s="21">
        <v>94.945724</v>
      </c>
      <c r="G170" s="21">
        <v>2.43148E7</v>
      </c>
      <c r="H170" s="1">
        <f t="shared" si="1"/>
        <v>5</v>
      </c>
      <c r="I170" s="1">
        <f t="shared" si="8"/>
        <v>28.50093259</v>
      </c>
    </row>
    <row r="171" ht="15.75" customHeight="1">
      <c r="A171" s="20">
        <v>44714.0</v>
      </c>
      <c r="B171" s="21">
        <v>97.290001</v>
      </c>
      <c r="C171" s="21">
        <v>98.099998</v>
      </c>
      <c r="D171" s="21">
        <v>96.790001</v>
      </c>
      <c r="E171" s="21">
        <v>97.669998</v>
      </c>
      <c r="F171" s="21">
        <v>95.957657</v>
      </c>
      <c r="G171" s="21">
        <v>1.90891E7</v>
      </c>
      <c r="H171" s="1">
        <f t="shared" si="1"/>
        <v>5</v>
      </c>
      <c r="I171" s="1">
        <f t="shared" si="8"/>
        <v>40.55939038</v>
      </c>
    </row>
    <row r="172" ht="15.75" customHeight="1">
      <c r="A172" s="20">
        <v>44721.0</v>
      </c>
      <c r="B172" s="21">
        <v>103.419998</v>
      </c>
      <c r="C172" s="21">
        <v>104.57</v>
      </c>
      <c r="D172" s="21">
        <v>102.160004</v>
      </c>
      <c r="E172" s="21">
        <v>102.330002</v>
      </c>
      <c r="F172" s="21">
        <v>100.535973</v>
      </c>
      <c r="G172" s="21">
        <v>2.6607E7</v>
      </c>
      <c r="H172" s="1">
        <f t="shared" si="1"/>
        <v>5</v>
      </c>
      <c r="I172" s="1">
        <f t="shared" si="8"/>
        <v>121.630668</v>
      </c>
    </row>
    <row r="173" ht="15.75" customHeight="1">
      <c r="A173" s="20">
        <v>44728.0</v>
      </c>
      <c r="B173" s="21">
        <v>92.410004</v>
      </c>
      <c r="C173" s="21">
        <v>93.129997</v>
      </c>
      <c r="D173" s="21">
        <v>90.279999</v>
      </c>
      <c r="E173" s="21">
        <v>91.389999</v>
      </c>
      <c r="F173" s="21">
        <v>89.787766</v>
      </c>
      <c r="G173" s="21">
        <v>3.56967E7</v>
      </c>
      <c r="H173" s="1">
        <f t="shared" si="1"/>
        <v>5</v>
      </c>
      <c r="I173" s="1">
        <f t="shared" si="8"/>
        <v>0.007854651289</v>
      </c>
    </row>
    <row r="174" ht="15.75" customHeight="1">
      <c r="A174" s="20">
        <v>44735.0</v>
      </c>
      <c r="B174" s="21">
        <v>88.660004</v>
      </c>
      <c r="C174" s="21">
        <v>89.050003</v>
      </c>
      <c r="D174" s="21">
        <v>83.519997</v>
      </c>
      <c r="E174" s="21">
        <v>85.209999</v>
      </c>
      <c r="F174" s="21">
        <v>83.71611</v>
      </c>
      <c r="G174" s="21">
        <v>3.57572E7</v>
      </c>
      <c r="H174" s="1">
        <f t="shared" si="1"/>
        <v>5</v>
      </c>
      <c r="I174" s="1">
        <f t="shared" si="8"/>
        <v>37.10483147</v>
      </c>
    </row>
    <row r="175" ht="15.75" customHeight="1">
      <c r="A175" s="20">
        <v>44742.0</v>
      </c>
      <c r="B175" s="21">
        <v>86.139999</v>
      </c>
      <c r="C175" s="21">
        <v>87.599998</v>
      </c>
      <c r="D175" s="21">
        <v>84.669998</v>
      </c>
      <c r="E175" s="21">
        <v>85.639999</v>
      </c>
      <c r="F175" s="21">
        <v>84.138573</v>
      </c>
      <c r="G175" s="21">
        <v>3.99481E7</v>
      </c>
      <c r="H175" s="1">
        <f t="shared" si="1"/>
        <v>5</v>
      </c>
      <c r="I175" s="1">
        <f t="shared" si="8"/>
        <v>32.05115024</v>
      </c>
    </row>
    <row r="176" ht="15.75" customHeight="1">
      <c r="A176" s="20">
        <v>44749.0</v>
      </c>
      <c r="B176" s="21">
        <v>85.379997</v>
      </c>
      <c r="C176" s="21">
        <v>86.760002</v>
      </c>
      <c r="D176" s="21">
        <v>85.300003</v>
      </c>
      <c r="E176" s="21">
        <v>85.940002</v>
      </c>
      <c r="F176" s="21">
        <v>84.433319</v>
      </c>
      <c r="G176" s="21">
        <v>2.38174E7</v>
      </c>
      <c r="H176" s="1">
        <f t="shared" si="1"/>
        <v>5</v>
      </c>
      <c r="I176" s="1">
        <f t="shared" si="8"/>
        <v>28.74429395</v>
      </c>
    </row>
    <row r="177" ht="15.75" customHeight="1">
      <c r="A177" s="20">
        <v>44756.0</v>
      </c>
      <c r="B177" s="21">
        <v>81.849998</v>
      </c>
      <c r="C177" s="21">
        <v>83.309998</v>
      </c>
      <c r="D177" s="21">
        <v>80.690002</v>
      </c>
      <c r="E177" s="21">
        <v>83.139999</v>
      </c>
      <c r="F177" s="21">
        <v>81.682404</v>
      </c>
      <c r="G177" s="21">
        <v>2.6343E7</v>
      </c>
      <c r="H177" s="1">
        <f t="shared" si="1"/>
        <v>5</v>
      </c>
      <c r="I177" s="1">
        <f t="shared" si="8"/>
        <v>66.60801789</v>
      </c>
    </row>
    <row r="178" ht="15.75" customHeight="1">
      <c r="A178" s="20">
        <v>44763.0</v>
      </c>
      <c r="B178" s="21">
        <v>86.93</v>
      </c>
      <c r="C178" s="21">
        <v>87.800003</v>
      </c>
      <c r="D178" s="21">
        <v>85.209999</v>
      </c>
      <c r="E178" s="21">
        <v>87.75</v>
      </c>
      <c r="F178" s="21">
        <v>86.211578</v>
      </c>
      <c r="G178" s="21">
        <v>2.13757E7</v>
      </c>
      <c r="H178" s="1">
        <f t="shared" si="1"/>
        <v>5</v>
      </c>
      <c r="I178" s="1">
        <f t="shared" si="8"/>
        <v>12.61224684</v>
      </c>
    </row>
    <row r="179" ht="15.75" customHeight="1">
      <c r="A179" s="20">
        <v>44770.0</v>
      </c>
      <c r="B179" s="21">
        <v>92.18</v>
      </c>
      <c r="C179" s="21">
        <v>93.25</v>
      </c>
      <c r="D179" s="21">
        <v>91.010002</v>
      </c>
      <c r="E179" s="21">
        <v>92.639999</v>
      </c>
      <c r="F179" s="21">
        <v>91.015854</v>
      </c>
      <c r="G179" s="21">
        <v>2.03531E7</v>
      </c>
      <c r="H179" s="1">
        <f t="shared" si="1"/>
        <v>5</v>
      </c>
      <c r="I179" s="1">
        <f t="shared" si="8"/>
        <v>1.791920828</v>
      </c>
    </row>
    <row r="180" ht="15.75" customHeight="1">
      <c r="A180" s="20">
        <v>44777.0</v>
      </c>
      <c r="B180" s="21">
        <v>90.309998</v>
      </c>
      <c r="C180" s="21">
        <v>90.339996</v>
      </c>
      <c r="D180" s="21">
        <v>86.43</v>
      </c>
      <c r="E180" s="21">
        <v>87.190002</v>
      </c>
      <c r="F180" s="21">
        <v>85.6614</v>
      </c>
      <c r="G180" s="21">
        <v>3.18215E7</v>
      </c>
      <c r="H180" s="1">
        <f t="shared" si="1"/>
        <v>5</v>
      </c>
      <c r="I180" s="1">
        <f t="shared" si="8"/>
        <v>16.90336763</v>
      </c>
    </row>
    <row r="181" ht="15.75" customHeight="1">
      <c r="A181" s="20">
        <v>44784.0</v>
      </c>
      <c r="B181" s="21">
        <v>91.839996</v>
      </c>
      <c r="C181" s="21">
        <v>94.300003</v>
      </c>
      <c r="D181" s="21">
        <v>91.440002</v>
      </c>
      <c r="E181" s="21">
        <v>93.190002</v>
      </c>
      <c r="F181" s="21">
        <v>92.445793</v>
      </c>
      <c r="G181" s="21">
        <v>1.87979E7</v>
      </c>
      <c r="H181" s="1">
        <f t="shared" si="1"/>
        <v>5</v>
      </c>
      <c r="I181" s="1">
        <f t="shared" si="8"/>
        <v>3.566921277</v>
      </c>
    </row>
    <row r="182" ht="15.75" customHeight="1">
      <c r="A182" s="20">
        <v>44791.0</v>
      </c>
      <c r="B182" s="21">
        <v>93.150002</v>
      </c>
      <c r="C182" s="21">
        <v>95.309998</v>
      </c>
      <c r="D182" s="21">
        <v>93.089996</v>
      </c>
      <c r="E182" s="21">
        <v>94.379997</v>
      </c>
      <c r="F182" s="21">
        <v>93.626282</v>
      </c>
      <c r="G182" s="21">
        <v>1.77704E7</v>
      </c>
      <c r="H182" s="1">
        <f t="shared" si="1"/>
        <v>5</v>
      </c>
      <c r="I182" s="1">
        <f t="shared" si="8"/>
        <v>9.477928631</v>
      </c>
    </row>
    <row r="183" ht="15.75" customHeight="1">
      <c r="A183" s="20">
        <v>44798.0</v>
      </c>
      <c r="B183" s="21">
        <v>98.919998</v>
      </c>
      <c r="C183" s="21">
        <v>99.860001</v>
      </c>
      <c r="D183" s="21">
        <v>98.099998</v>
      </c>
      <c r="E183" s="21">
        <v>99.089996</v>
      </c>
      <c r="F183" s="21">
        <v>98.298668</v>
      </c>
      <c r="G183" s="21">
        <v>1.53057E7</v>
      </c>
      <c r="H183" s="1">
        <f t="shared" si="1"/>
        <v>5</v>
      </c>
      <c r="I183" s="1">
        <f t="shared" si="8"/>
        <v>60.66265557</v>
      </c>
    </row>
    <row r="184" ht="15.75" customHeight="1">
      <c r="A184" s="20">
        <v>44805.0</v>
      </c>
      <c r="B184" s="21">
        <v>94.419998</v>
      </c>
      <c r="C184" s="21">
        <v>95.07</v>
      </c>
      <c r="D184" s="21">
        <v>92.290001</v>
      </c>
      <c r="E184" s="21">
        <v>93.870003</v>
      </c>
      <c r="F184" s="21">
        <v>93.120361</v>
      </c>
      <c r="G184" s="21">
        <v>1.6423E7</v>
      </c>
      <c r="H184" s="1">
        <f t="shared" si="1"/>
        <v>5</v>
      </c>
      <c r="I184" s="1">
        <f t="shared" si="8"/>
        <v>6.597862494</v>
      </c>
    </row>
    <row r="185" ht="15.75" customHeight="1">
      <c r="A185" s="20">
        <v>44812.0</v>
      </c>
      <c r="B185" s="21">
        <v>94.660004</v>
      </c>
      <c r="C185" s="21">
        <v>95.419998</v>
      </c>
      <c r="D185" s="21">
        <v>93.720001</v>
      </c>
      <c r="E185" s="21">
        <v>94.910004</v>
      </c>
      <c r="F185" s="21">
        <v>94.152054</v>
      </c>
      <c r="G185" s="21">
        <v>1.87592E7</v>
      </c>
      <c r="H185" s="1">
        <f t="shared" si="1"/>
        <v>5</v>
      </c>
      <c r="I185" s="1">
        <f t="shared" si="8"/>
        <v>13.02222109</v>
      </c>
    </row>
    <row r="186" ht="15.75" customHeight="1">
      <c r="A186" s="20">
        <v>44819.0</v>
      </c>
      <c r="B186" s="21">
        <v>96.220001</v>
      </c>
      <c r="C186" s="21">
        <v>96.540001</v>
      </c>
      <c r="D186" s="21">
        <v>94.050003</v>
      </c>
      <c r="E186" s="21">
        <v>94.830002</v>
      </c>
      <c r="F186" s="21">
        <v>94.072693</v>
      </c>
      <c r="G186" s="21">
        <v>2.10923E7</v>
      </c>
      <c r="H186" s="1">
        <f t="shared" si="1"/>
        <v>5</v>
      </c>
      <c r="I186" s="1">
        <f t="shared" si="8"/>
        <v>12.45122594</v>
      </c>
    </row>
    <row r="187" ht="15.75" customHeight="1">
      <c r="A187" s="20">
        <v>44826.0</v>
      </c>
      <c r="B187" s="21">
        <v>92.199997</v>
      </c>
      <c r="C187" s="21">
        <v>92.660004</v>
      </c>
      <c r="D187" s="21">
        <v>90.519997</v>
      </c>
      <c r="E187" s="21">
        <v>90.57</v>
      </c>
      <c r="F187" s="21">
        <v>89.84671</v>
      </c>
      <c r="G187" s="21">
        <v>1.61394E7</v>
      </c>
      <c r="H187" s="1">
        <f t="shared" si="1"/>
        <v>5</v>
      </c>
      <c r="I187" s="1">
        <f t="shared" si="8"/>
        <v>0.5349057768</v>
      </c>
    </row>
    <row r="188" ht="15.75" customHeight="1">
      <c r="A188" s="20">
        <v>44833.0</v>
      </c>
      <c r="B188" s="21">
        <v>88.18</v>
      </c>
      <c r="C188" s="21">
        <v>89.360001</v>
      </c>
      <c r="D188" s="21">
        <v>87.129997</v>
      </c>
      <c r="E188" s="21">
        <v>88.68</v>
      </c>
      <c r="F188" s="21">
        <v>87.971809</v>
      </c>
      <c r="G188" s="21">
        <v>1.7896E7</v>
      </c>
      <c r="H188" s="1">
        <f t="shared" si="1"/>
        <v>5</v>
      </c>
      <c r="I188" s="1">
        <f t="shared" si="8"/>
        <v>6.871593938</v>
      </c>
    </row>
    <row r="189" ht="15.75" customHeight="1">
      <c r="A189" s="20">
        <v>44840.0</v>
      </c>
      <c r="B189" s="21">
        <v>98.470001</v>
      </c>
      <c r="C189" s="21">
        <v>102.18</v>
      </c>
      <c r="D189" s="21">
        <v>98.330002</v>
      </c>
      <c r="E189" s="21">
        <v>102.059998</v>
      </c>
      <c r="F189" s="21">
        <v>101.244949</v>
      </c>
      <c r="G189" s="21">
        <v>2.91247E7</v>
      </c>
      <c r="H189" s="1">
        <f t="shared" si="1"/>
        <v>5</v>
      </c>
      <c r="I189" s="1">
        <f t="shared" si="8"/>
        <v>115.748022</v>
      </c>
    </row>
    <row r="190" ht="15.75" customHeight="1">
      <c r="A190" s="20">
        <v>44847.0</v>
      </c>
      <c r="B190" s="21">
        <v>97.550003</v>
      </c>
      <c r="C190" s="21">
        <v>102.449997</v>
      </c>
      <c r="D190" s="21">
        <v>97.400002</v>
      </c>
      <c r="E190" s="21">
        <v>101.870003</v>
      </c>
      <c r="F190" s="21">
        <v>101.056473</v>
      </c>
      <c r="G190" s="21">
        <v>2.20191E7</v>
      </c>
      <c r="H190" s="1">
        <f t="shared" si="1"/>
        <v>5</v>
      </c>
      <c r="I190" s="1">
        <f t="shared" si="8"/>
        <v>111.69595</v>
      </c>
    </row>
    <row r="191" ht="15.75" customHeight="1">
      <c r="A191" s="20">
        <v>44854.0</v>
      </c>
      <c r="B191" s="21">
        <v>104.32</v>
      </c>
      <c r="C191" s="21">
        <v>105.0</v>
      </c>
      <c r="D191" s="21">
        <v>103.410004</v>
      </c>
      <c r="E191" s="21">
        <v>103.93</v>
      </c>
      <c r="F191" s="21">
        <v>103.100021</v>
      </c>
      <c r="G191" s="21">
        <v>1.7649E7</v>
      </c>
      <c r="H191" s="1">
        <f t="shared" si="1"/>
        <v>5</v>
      </c>
      <c r="I191" s="1">
        <f t="shared" si="8"/>
        <v>159.4822318</v>
      </c>
    </row>
    <row r="192" ht="15.75" customHeight="1">
      <c r="A192" s="20">
        <v>44861.0</v>
      </c>
      <c r="B192" s="21">
        <v>108.410004</v>
      </c>
      <c r="C192" s="21">
        <v>109.580002</v>
      </c>
      <c r="D192" s="21">
        <v>107.419998</v>
      </c>
      <c r="E192" s="21">
        <v>107.550003</v>
      </c>
      <c r="F192" s="21">
        <v>106.691116</v>
      </c>
      <c r="G192" s="21">
        <v>1.8214E7</v>
      </c>
      <c r="H192" s="1">
        <f t="shared" si="1"/>
        <v>5</v>
      </c>
      <c r="I192" s="1">
        <f t="shared" si="8"/>
        <v>264.0179922</v>
      </c>
    </row>
    <row r="193" ht="15.75" customHeight="1">
      <c r="A193" s="20">
        <v>44868.0</v>
      </c>
      <c r="B193" s="21">
        <v>108.580002</v>
      </c>
      <c r="C193" s="21">
        <v>111.82</v>
      </c>
      <c r="D193" s="21">
        <v>108.309998</v>
      </c>
      <c r="E193" s="21">
        <v>111.099998</v>
      </c>
      <c r="F193" s="21">
        <v>110.212761</v>
      </c>
      <c r="G193" s="21">
        <v>1.71037E7</v>
      </c>
      <c r="H193" s="1">
        <f t="shared" si="1"/>
        <v>5</v>
      </c>
      <c r="I193" s="1">
        <f t="shared" si="8"/>
        <v>391.9855705</v>
      </c>
    </row>
    <row r="194" ht="15.75" customHeight="1">
      <c r="A194" s="20">
        <v>44875.0</v>
      </c>
      <c r="B194" s="21">
        <v>110.190002</v>
      </c>
      <c r="C194" s="21">
        <v>110.699997</v>
      </c>
      <c r="D194" s="21">
        <v>107.57</v>
      </c>
      <c r="E194" s="21">
        <v>110.5</v>
      </c>
      <c r="F194" s="21">
        <v>109.617554</v>
      </c>
      <c r="G194" s="21">
        <v>2.01467E7</v>
      </c>
      <c r="H194" s="1">
        <f t="shared" si="1"/>
        <v>5</v>
      </c>
      <c r="I194" s="1">
        <f t="shared" si="8"/>
        <v>368.5872968</v>
      </c>
    </row>
    <row r="195" ht="15.75" customHeight="1">
      <c r="A195" s="20">
        <v>44882.0</v>
      </c>
      <c r="B195" s="21">
        <v>111.290001</v>
      </c>
      <c r="C195" s="21">
        <v>113.199997</v>
      </c>
      <c r="D195" s="21">
        <v>110.75</v>
      </c>
      <c r="E195" s="21">
        <v>113.059998</v>
      </c>
      <c r="F195" s="21">
        <v>113.059998</v>
      </c>
      <c r="G195" s="21">
        <v>1.24259E7</v>
      </c>
      <c r="H195" s="1">
        <f t="shared" si="1"/>
        <v>5</v>
      </c>
      <c r="I195" s="1">
        <f t="shared" si="8"/>
        <v>473.4377824</v>
      </c>
    </row>
    <row r="196" ht="15.75" customHeight="1">
      <c r="A196" s="20">
        <v>44896.0</v>
      </c>
      <c r="B196" s="21">
        <v>111.639999</v>
      </c>
      <c r="C196" s="21">
        <v>112.07</v>
      </c>
      <c r="D196" s="21">
        <v>110.18</v>
      </c>
      <c r="E196" s="21">
        <v>110.800003</v>
      </c>
      <c r="F196" s="21">
        <v>110.800003</v>
      </c>
      <c r="G196" s="21">
        <v>1.43983E7</v>
      </c>
      <c r="H196" s="1">
        <f t="shared" si="1"/>
        <v>5</v>
      </c>
      <c r="I196" s="1">
        <f t="shared" si="8"/>
        <v>380.1965902</v>
      </c>
    </row>
    <row r="197" ht="15.75" customHeight="1">
      <c r="A197" s="20">
        <v>44903.0</v>
      </c>
      <c r="B197" s="21">
        <v>106.279999</v>
      </c>
      <c r="C197" s="21">
        <v>106.800003</v>
      </c>
      <c r="D197" s="21">
        <v>103.709999</v>
      </c>
      <c r="E197" s="21">
        <v>104.419998</v>
      </c>
      <c r="F197" s="21">
        <v>104.419998</v>
      </c>
      <c r="G197" s="21">
        <v>2.11288E7</v>
      </c>
      <c r="H197" s="1">
        <f t="shared" si="1"/>
        <v>5</v>
      </c>
      <c r="I197" s="1">
        <f t="shared" si="8"/>
        <v>172.0983342</v>
      </c>
    </row>
    <row r="198" ht="15.75" customHeight="1">
      <c r="A198" s="20">
        <v>44910.0</v>
      </c>
      <c r="B198" s="21">
        <v>105.330002</v>
      </c>
      <c r="C198" s="21">
        <v>106.169998</v>
      </c>
      <c r="D198" s="21">
        <v>103.699997</v>
      </c>
      <c r="E198" s="21">
        <v>105.440002</v>
      </c>
      <c r="F198" s="21">
        <v>105.440002</v>
      </c>
      <c r="G198" s="21">
        <v>1.53651E7</v>
      </c>
      <c r="H198" s="1">
        <f t="shared" si="1"/>
        <v>5</v>
      </c>
      <c r="I198" s="1">
        <f t="shared" si="8"/>
        <v>199.9008433</v>
      </c>
    </row>
    <row r="199" ht="15.75" customHeight="1">
      <c r="A199" s="20">
        <v>44917.0</v>
      </c>
      <c r="B199" s="21">
        <v>107.889999</v>
      </c>
      <c r="C199" s="21">
        <v>108.190002</v>
      </c>
      <c r="D199" s="21">
        <v>104.099998</v>
      </c>
      <c r="E199" s="21">
        <v>105.879997</v>
      </c>
      <c r="F199" s="21">
        <v>105.879997</v>
      </c>
      <c r="G199" s="21">
        <v>1.3213E7</v>
      </c>
      <c r="H199" s="1">
        <f t="shared" si="1"/>
        <v>5</v>
      </c>
      <c r="I199" s="1">
        <f t="shared" si="8"/>
        <v>212.5362915</v>
      </c>
    </row>
    <row r="200" ht="15.75" customHeight="1">
      <c r="A200" s="20">
        <v>44924.0</v>
      </c>
      <c r="B200" s="21">
        <v>107.989998</v>
      </c>
      <c r="C200" s="21">
        <v>109.720001</v>
      </c>
      <c r="D200" s="21">
        <v>107.989998</v>
      </c>
      <c r="E200" s="21">
        <v>109.199997</v>
      </c>
      <c r="F200" s="21">
        <v>109.199997</v>
      </c>
      <c r="G200" s="21">
        <v>1.0534E7</v>
      </c>
      <c r="H200" s="1">
        <f t="shared" si="1"/>
        <v>5</v>
      </c>
      <c r="I200" s="1">
        <f t="shared" si="8"/>
        <v>320.3607579</v>
      </c>
    </row>
    <row r="201" ht="15.75" customHeight="1">
      <c r="A201" s="20">
        <v>44568.0</v>
      </c>
      <c r="B201" s="21">
        <v>68.519997</v>
      </c>
      <c r="C201" s="21">
        <v>69.18</v>
      </c>
      <c r="D201" s="21">
        <v>67.980003</v>
      </c>
      <c r="E201" s="21">
        <v>68.879997</v>
      </c>
      <c r="F201" s="21">
        <v>66.251778</v>
      </c>
      <c r="G201" s="21">
        <v>2.39854E7</v>
      </c>
      <c r="H201" s="1">
        <f t="shared" si="1"/>
        <v>6</v>
      </c>
      <c r="I201" s="1">
        <f t="shared" ref="I201:I251" si="9">(E201-$L$8)^2</f>
        <v>542.871849</v>
      </c>
    </row>
    <row r="202" ht="15.75" customHeight="1">
      <c r="A202" s="20">
        <v>44575.0</v>
      </c>
      <c r="B202" s="21">
        <v>70.650002</v>
      </c>
      <c r="C202" s="21">
        <v>72.150002</v>
      </c>
      <c r="D202" s="21">
        <v>70.599998</v>
      </c>
      <c r="E202" s="21">
        <v>71.870003</v>
      </c>
      <c r="F202" s="21">
        <v>69.127701</v>
      </c>
      <c r="G202" s="21">
        <v>2.30129E7</v>
      </c>
      <c r="H202" s="1">
        <f t="shared" si="1"/>
        <v>6</v>
      </c>
      <c r="I202" s="1">
        <f t="shared" si="9"/>
        <v>412.4800345</v>
      </c>
    </row>
    <row r="203" ht="15.75" customHeight="1">
      <c r="A203" s="20">
        <v>44582.0</v>
      </c>
      <c r="B203" s="21">
        <v>73.18</v>
      </c>
      <c r="C203" s="21">
        <v>73.18</v>
      </c>
      <c r="D203" s="21">
        <v>71.040001</v>
      </c>
      <c r="E203" s="21">
        <v>72.169998</v>
      </c>
      <c r="F203" s="21">
        <v>69.416245</v>
      </c>
      <c r="G203" s="21">
        <v>3.59952E7</v>
      </c>
      <c r="H203" s="1">
        <f t="shared" si="1"/>
        <v>6</v>
      </c>
      <c r="I203" s="1">
        <f t="shared" si="9"/>
        <v>400.384472</v>
      </c>
    </row>
    <row r="204" ht="15.75" customHeight="1">
      <c r="A204" s="20">
        <v>44589.0</v>
      </c>
      <c r="B204" s="21">
        <v>74.970001</v>
      </c>
      <c r="C204" s="21">
        <v>75.620003</v>
      </c>
      <c r="D204" s="21">
        <v>73.949997</v>
      </c>
      <c r="E204" s="21">
        <v>75.279999</v>
      </c>
      <c r="F204" s="21">
        <v>72.407585</v>
      </c>
      <c r="G204" s="21">
        <v>3.05957E7</v>
      </c>
      <c r="H204" s="1">
        <f t="shared" si="1"/>
        <v>6</v>
      </c>
      <c r="I204" s="1">
        <f t="shared" si="9"/>
        <v>285.5967671</v>
      </c>
    </row>
    <row r="205" ht="15.75" customHeight="1">
      <c r="A205" s="20">
        <v>44596.0</v>
      </c>
      <c r="B205" s="21">
        <v>80.870003</v>
      </c>
      <c r="C205" s="21">
        <v>82.529999</v>
      </c>
      <c r="D205" s="21">
        <v>80.870003</v>
      </c>
      <c r="E205" s="21">
        <v>81.410004</v>
      </c>
      <c r="F205" s="21">
        <v>78.303696</v>
      </c>
      <c r="G205" s="21">
        <v>3.21975E7</v>
      </c>
      <c r="H205" s="1">
        <f t="shared" si="1"/>
        <v>6</v>
      </c>
      <c r="I205" s="1">
        <f t="shared" si="9"/>
        <v>115.9843593</v>
      </c>
    </row>
    <row r="206" ht="15.75" customHeight="1">
      <c r="A206" s="20">
        <v>44603.0</v>
      </c>
      <c r="B206" s="21">
        <v>78.620003</v>
      </c>
      <c r="C206" s="21">
        <v>80.32</v>
      </c>
      <c r="D206" s="21">
        <v>78.230003</v>
      </c>
      <c r="E206" s="21">
        <v>80.209999</v>
      </c>
      <c r="F206" s="21">
        <v>78.004745</v>
      </c>
      <c r="G206" s="21">
        <v>4.20021E7</v>
      </c>
      <c r="H206" s="1">
        <f t="shared" si="1"/>
        <v>6</v>
      </c>
      <c r="I206" s="1">
        <f t="shared" si="9"/>
        <v>143.2715274</v>
      </c>
    </row>
    <row r="207" ht="15.75" customHeight="1">
      <c r="A207" s="20">
        <v>44610.0</v>
      </c>
      <c r="B207" s="21">
        <v>77.160004</v>
      </c>
      <c r="C207" s="21">
        <v>78.169998</v>
      </c>
      <c r="D207" s="21">
        <v>76.889999</v>
      </c>
      <c r="E207" s="21">
        <v>77.360001</v>
      </c>
      <c r="F207" s="21">
        <v>75.233109</v>
      </c>
      <c r="G207" s="21">
        <v>2.33948E7</v>
      </c>
      <c r="H207" s="1">
        <f t="shared" si="1"/>
        <v>6</v>
      </c>
      <c r="I207" s="1">
        <f t="shared" si="9"/>
        <v>219.6207365</v>
      </c>
    </row>
    <row r="208" ht="15.75" customHeight="1">
      <c r="A208" s="20">
        <v>44617.0</v>
      </c>
      <c r="B208" s="21">
        <v>76.690002</v>
      </c>
      <c r="C208" s="21">
        <v>77.989998</v>
      </c>
      <c r="D208" s="21">
        <v>76.260002</v>
      </c>
      <c r="E208" s="21">
        <v>77.839996</v>
      </c>
      <c r="F208" s="21">
        <v>75.699898</v>
      </c>
      <c r="G208" s="21">
        <v>2.83103E7</v>
      </c>
      <c r="H208" s="1">
        <f t="shared" si="1"/>
        <v>6</v>
      </c>
      <c r="I208" s="1">
        <f t="shared" si="9"/>
        <v>205.6244577</v>
      </c>
    </row>
    <row r="209" ht="15.75" customHeight="1">
      <c r="A209" s="20">
        <v>44624.0</v>
      </c>
      <c r="B209" s="21">
        <v>81.050003</v>
      </c>
      <c r="C209" s="21">
        <v>84.279999</v>
      </c>
      <c r="D209" s="21">
        <v>80.660004</v>
      </c>
      <c r="E209" s="21">
        <v>84.089996</v>
      </c>
      <c r="F209" s="21">
        <v>81.778069</v>
      </c>
      <c r="G209" s="21">
        <v>4.28022E7</v>
      </c>
      <c r="H209" s="1">
        <f t="shared" si="1"/>
        <v>6</v>
      </c>
      <c r="I209" s="1">
        <f t="shared" si="9"/>
        <v>65.44181406</v>
      </c>
    </row>
    <row r="210" ht="15.75" customHeight="1">
      <c r="A210" s="20">
        <v>44631.0</v>
      </c>
      <c r="B210" s="21">
        <v>84.07</v>
      </c>
      <c r="C210" s="21">
        <v>86.230003</v>
      </c>
      <c r="D210" s="21">
        <v>83.970001</v>
      </c>
      <c r="E210" s="21">
        <v>84.919998</v>
      </c>
      <c r="F210" s="21">
        <v>82.585243</v>
      </c>
      <c r="G210" s="21">
        <v>3.53034E7</v>
      </c>
      <c r="H210" s="1">
        <f t="shared" si="1"/>
        <v>6</v>
      </c>
      <c r="I210" s="1">
        <f t="shared" si="9"/>
        <v>52.70192995</v>
      </c>
    </row>
    <row r="211" ht="15.75" customHeight="1">
      <c r="A211" s="20">
        <v>44638.0</v>
      </c>
      <c r="B211" s="21">
        <v>79.059998</v>
      </c>
      <c r="C211" s="21">
        <v>79.389999</v>
      </c>
      <c r="D211" s="21">
        <v>78.099998</v>
      </c>
      <c r="E211" s="21">
        <v>78.669998</v>
      </c>
      <c r="F211" s="21">
        <v>76.50708</v>
      </c>
      <c r="G211" s="21">
        <v>4.14615E7</v>
      </c>
      <c r="H211" s="1">
        <f t="shared" si="1"/>
        <v>6</v>
      </c>
      <c r="I211" s="1">
        <f t="shared" si="9"/>
        <v>182.5095486</v>
      </c>
    </row>
    <row r="212" ht="15.75" customHeight="1">
      <c r="A212" s="20">
        <v>44645.0</v>
      </c>
      <c r="B212" s="21">
        <v>82.919998</v>
      </c>
      <c r="C212" s="21">
        <v>85.489998</v>
      </c>
      <c r="D212" s="21">
        <v>82.790001</v>
      </c>
      <c r="E212" s="21">
        <v>85.199997</v>
      </c>
      <c r="F212" s="21">
        <v>82.857552</v>
      </c>
      <c r="G212" s="21">
        <v>2.23983E7</v>
      </c>
      <c r="H212" s="1">
        <f t="shared" si="1"/>
        <v>6</v>
      </c>
      <c r="I212" s="1">
        <f t="shared" si="9"/>
        <v>48.71496259</v>
      </c>
    </row>
    <row r="213" ht="15.75" customHeight="1">
      <c r="A213" s="20">
        <v>44652.0</v>
      </c>
      <c r="B213" s="21">
        <v>81.989998</v>
      </c>
      <c r="C213" s="21">
        <v>84.139999</v>
      </c>
      <c r="D213" s="21">
        <v>81.989998</v>
      </c>
      <c r="E213" s="21">
        <v>83.120003</v>
      </c>
      <c r="F213" s="21">
        <v>80.83474</v>
      </c>
      <c r="G213" s="21">
        <v>1.86711E7</v>
      </c>
      <c r="H213" s="1">
        <f t="shared" si="1"/>
        <v>6</v>
      </c>
      <c r="I213" s="1">
        <f t="shared" si="9"/>
        <v>82.07643352</v>
      </c>
    </row>
    <row r="214" ht="15.75" customHeight="1">
      <c r="A214" s="20">
        <v>44659.0</v>
      </c>
      <c r="B214" s="21">
        <v>85.169998</v>
      </c>
      <c r="C214" s="21">
        <v>87.209999</v>
      </c>
      <c r="D214" s="21">
        <v>85.169998</v>
      </c>
      <c r="E214" s="21">
        <v>86.839996</v>
      </c>
      <c r="F214" s="21">
        <v>84.452461</v>
      </c>
      <c r="G214" s="21">
        <v>2.48665E7</v>
      </c>
      <c r="H214" s="1">
        <f t="shared" si="1"/>
        <v>6</v>
      </c>
      <c r="I214" s="1">
        <f t="shared" si="9"/>
        <v>28.51145087</v>
      </c>
    </row>
    <row r="215" ht="15.75" customHeight="1">
      <c r="A215" s="20">
        <v>44673.0</v>
      </c>
      <c r="B215" s="21">
        <v>86.660004</v>
      </c>
      <c r="C215" s="21">
        <v>88.120003</v>
      </c>
      <c r="D215" s="21">
        <v>85.0</v>
      </c>
      <c r="E215" s="21">
        <v>85.129997</v>
      </c>
      <c r="F215" s="21">
        <v>82.789474</v>
      </c>
      <c r="G215" s="21">
        <v>2.35916E7</v>
      </c>
      <c r="H215" s="1">
        <f t="shared" si="1"/>
        <v>6</v>
      </c>
      <c r="I215" s="1">
        <f t="shared" si="9"/>
        <v>49.69700806</v>
      </c>
    </row>
    <row r="216" ht="15.75" customHeight="1">
      <c r="A216" s="20">
        <v>44680.0</v>
      </c>
      <c r="B216" s="21">
        <v>88.139999</v>
      </c>
      <c r="C216" s="21">
        <v>88.139999</v>
      </c>
      <c r="D216" s="21">
        <v>84.699997</v>
      </c>
      <c r="E216" s="21">
        <v>85.25</v>
      </c>
      <c r="F216" s="21">
        <v>82.906181</v>
      </c>
      <c r="G216" s="21">
        <v>3.46565E7</v>
      </c>
      <c r="H216" s="1">
        <f t="shared" si="1"/>
        <v>6</v>
      </c>
      <c r="I216" s="1">
        <f t="shared" si="9"/>
        <v>48.01945997</v>
      </c>
    </row>
    <row r="217" ht="15.75" customHeight="1">
      <c r="A217" s="20">
        <v>44687.0</v>
      </c>
      <c r="B217" s="21">
        <v>90.980003</v>
      </c>
      <c r="C217" s="21">
        <v>91.82</v>
      </c>
      <c r="D217" s="21">
        <v>89.349998</v>
      </c>
      <c r="E217" s="21">
        <v>91.690002</v>
      </c>
      <c r="F217" s="21">
        <v>89.169128</v>
      </c>
      <c r="G217" s="21">
        <v>2.96193E7</v>
      </c>
      <c r="H217" s="1">
        <f t="shared" si="1"/>
        <v>6</v>
      </c>
      <c r="I217" s="1">
        <f t="shared" si="9"/>
        <v>0.239713536</v>
      </c>
    </row>
    <row r="218" ht="15.75" customHeight="1">
      <c r="A218" s="20">
        <v>44694.0</v>
      </c>
      <c r="B218" s="21">
        <v>87.360001</v>
      </c>
      <c r="C218" s="21">
        <v>88.949997</v>
      </c>
      <c r="D218" s="21">
        <v>86.349998</v>
      </c>
      <c r="E218" s="21">
        <v>88.860001</v>
      </c>
      <c r="F218" s="21">
        <v>87.302116</v>
      </c>
      <c r="G218" s="21">
        <v>2.57984E7</v>
      </c>
      <c r="H218" s="1">
        <f t="shared" si="1"/>
        <v>6</v>
      </c>
      <c r="I218" s="1">
        <f t="shared" si="9"/>
        <v>11.01978725</v>
      </c>
    </row>
    <row r="219" ht="15.75" customHeight="1">
      <c r="A219" s="20">
        <v>44701.0</v>
      </c>
      <c r="B219" s="21">
        <v>91.93</v>
      </c>
      <c r="C219" s="21">
        <v>93.589996</v>
      </c>
      <c r="D219" s="21">
        <v>90.400002</v>
      </c>
      <c r="E219" s="21">
        <v>91.860001</v>
      </c>
      <c r="F219" s="21">
        <v>90.249527</v>
      </c>
      <c r="G219" s="21">
        <v>2.8795E7</v>
      </c>
      <c r="H219" s="1">
        <f t="shared" si="1"/>
        <v>6</v>
      </c>
      <c r="I219" s="1">
        <f t="shared" si="9"/>
        <v>0.1021483086</v>
      </c>
    </row>
    <row r="220" ht="15.75" customHeight="1">
      <c r="A220" s="20">
        <v>44708.0</v>
      </c>
      <c r="B220" s="21">
        <v>95.949997</v>
      </c>
      <c r="C220" s="21">
        <v>97.93</v>
      </c>
      <c r="D220" s="21">
        <v>95.300003</v>
      </c>
      <c r="E220" s="21">
        <v>97.589996</v>
      </c>
      <c r="F220" s="21">
        <v>95.879059</v>
      </c>
      <c r="G220" s="21">
        <v>2.55888E7</v>
      </c>
      <c r="H220" s="1">
        <f t="shared" si="1"/>
        <v>6</v>
      </c>
      <c r="I220" s="1">
        <f t="shared" si="9"/>
        <v>29.27230383</v>
      </c>
    </row>
    <row r="221" ht="15.75" customHeight="1">
      <c r="A221" s="20">
        <v>44715.0</v>
      </c>
      <c r="B221" s="21">
        <v>97.900002</v>
      </c>
      <c r="C221" s="21">
        <v>99.660004</v>
      </c>
      <c r="D221" s="21">
        <v>97.900002</v>
      </c>
      <c r="E221" s="21">
        <v>99.089996</v>
      </c>
      <c r="F221" s="21">
        <v>97.352768</v>
      </c>
      <c r="G221" s="21">
        <v>2.10382E7</v>
      </c>
      <c r="H221" s="1">
        <f t="shared" si="1"/>
        <v>6</v>
      </c>
      <c r="I221" s="1">
        <f t="shared" si="9"/>
        <v>47.75346936</v>
      </c>
    </row>
    <row r="222" ht="15.75" customHeight="1">
      <c r="A222" s="20">
        <v>44722.0</v>
      </c>
      <c r="B222" s="21">
        <v>101.940002</v>
      </c>
      <c r="C222" s="21">
        <v>103.349998</v>
      </c>
      <c r="D222" s="21">
        <v>99.790001</v>
      </c>
      <c r="E222" s="21">
        <v>100.459999</v>
      </c>
      <c r="F222" s="21">
        <v>98.698746</v>
      </c>
      <c r="G222" s="21">
        <v>3.09505E7</v>
      </c>
      <c r="H222" s="1">
        <f t="shared" si="1"/>
        <v>6</v>
      </c>
      <c r="I222" s="1">
        <f t="shared" si="9"/>
        <v>68.56488356</v>
      </c>
    </row>
    <row r="223" ht="15.75" customHeight="1">
      <c r="A223" s="20">
        <v>44729.0</v>
      </c>
      <c r="B223" s="21">
        <v>90.959999</v>
      </c>
      <c r="C223" s="21">
        <v>91.349998</v>
      </c>
      <c r="D223" s="21">
        <v>85.660004</v>
      </c>
      <c r="E223" s="21">
        <v>86.120003</v>
      </c>
      <c r="F223" s="21">
        <v>84.610161</v>
      </c>
      <c r="G223" s="21">
        <v>6.46102E7</v>
      </c>
      <c r="H223" s="1">
        <f t="shared" si="1"/>
        <v>6</v>
      </c>
      <c r="I223" s="1">
        <f t="shared" si="9"/>
        <v>36.71880658</v>
      </c>
    </row>
    <row r="224" ht="15.75" customHeight="1">
      <c r="A224" s="20">
        <v>44736.0</v>
      </c>
      <c r="B224" s="21">
        <v>86.949997</v>
      </c>
      <c r="C224" s="21">
        <v>88.400002</v>
      </c>
      <c r="D224" s="21">
        <v>85.809998</v>
      </c>
      <c r="E224" s="21">
        <v>86.900002</v>
      </c>
      <c r="F224" s="21">
        <v>85.376488</v>
      </c>
      <c r="G224" s="21">
        <v>2.6639E7</v>
      </c>
      <c r="H224" s="1">
        <f t="shared" si="1"/>
        <v>6</v>
      </c>
      <c r="I224" s="1">
        <f t="shared" si="9"/>
        <v>27.87423413</v>
      </c>
    </row>
    <row r="225" ht="15.75" customHeight="1">
      <c r="A225" s="20">
        <v>44743.0</v>
      </c>
      <c r="B225" s="21">
        <v>86.739998</v>
      </c>
      <c r="C225" s="21">
        <v>87.879997</v>
      </c>
      <c r="D225" s="21">
        <v>84.709999</v>
      </c>
      <c r="E225" s="21">
        <v>87.550003</v>
      </c>
      <c r="F225" s="21">
        <v>86.015083</v>
      </c>
      <c r="G225" s="21">
        <v>2.63279E7</v>
      </c>
      <c r="H225" s="1">
        <f t="shared" si="1"/>
        <v>6</v>
      </c>
      <c r="I225" s="1">
        <f t="shared" si="9"/>
        <v>21.43323774</v>
      </c>
    </row>
    <row r="226" ht="15.75" customHeight="1">
      <c r="A226" s="20">
        <v>44750.0</v>
      </c>
      <c r="B226" s="21">
        <v>86.949997</v>
      </c>
      <c r="C226" s="21">
        <v>87.300003</v>
      </c>
      <c r="D226" s="21">
        <v>84.93</v>
      </c>
      <c r="E226" s="21">
        <v>86.080002</v>
      </c>
      <c r="F226" s="21">
        <v>84.570862</v>
      </c>
      <c r="G226" s="21">
        <v>1.76738E7</v>
      </c>
      <c r="H226" s="1">
        <f t="shared" si="1"/>
        <v>6</v>
      </c>
      <c r="I226" s="1">
        <f t="shared" si="9"/>
        <v>37.20518714</v>
      </c>
    </row>
    <row r="227" ht="15.75" customHeight="1">
      <c r="A227" s="20">
        <v>44757.0</v>
      </c>
      <c r="B227" s="21">
        <v>84.800003</v>
      </c>
      <c r="C227" s="21">
        <v>84.879997</v>
      </c>
      <c r="D227" s="21">
        <v>82.900002</v>
      </c>
      <c r="E227" s="21">
        <v>84.540001</v>
      </c>
      <c r="F227" s="21">
        <v>83.057854</v>
      </c>
      <c r="G227" s="21">
        <v>1.72437E7</v>
      </c>
      <c r="H227" s="1">
        <f t="shared" si="1"/>
        <v>6</v>
      </c>
      <c r="I227" s="1">
        <f t="shared" si="9"/>
        <v>58.36358733</v>
      </c>
    </row>
    <row r="228" ht="15.75" customHeight="1">
      <c r="A228" s="20">
        <v>44764.0</v>
      </c>
      <c r="B228" s="21">
        <v>87.550003</v>
      </c>
      <c r="C228" s="21">
        <v>88.470001</v>
      </c>
      <c r="D228" s="21">
        <v>86.629997</v>
      </c>
      <c r="E228" s="21">
        <v>87.080002</v>
      </c>
      <c r="F228" s="21">
        <v>85.553322</v>
      </c>
      <c r="G228" s="21">
        <v>1.54795E7</v>
      </c>
      <c r="H228" s="1">
        <f t="shared" si="1"/>
        <v>6</v>
      </c>
      <c r="I228" s="1">
        <f t="shared" si="9"/>
        <v>26.00597616</v>
      </c>
    </row>
    <row r="229" ht="15.75" customHeight="1">
      <c r="A229" s="20">
        <v>44771.0</v>
      </c>
      <c r="B229" s="21">
        <v>94.449997</v>
      </c>
      <c r="C229" s="21">
        <v>97.519997</v>
      </c>
      <c r="D229" s="21">
        <v>94.099998</v>
      </c>
      <c r="E229" s="21">
        <v>96.93</v>
      </c>
      <c r="F229" s="21">
        <v>95.230637</v>
      </c>
      <c r="G229" s="21">
        <v>2.98258E7</v>
      </c>
      <c r="H229" s="1">
        <f t="shared" si="1"/>
        <v>6</v>
      </c>
      <c r="I229" s="1">
        <f t="shared" si="9"/>
        <v>22.566229</v>
      </c>
    </row>
    <row r="230" ht="15.75" customHeight="1">
      <c r="A230" s="20">
        <v>44778.0</v>
      </c>
      <c r="B230" s="21">
        <v>86.360001</v>
      </c>
      <c r="C230" s="21">
        <v>89.690002</v>
      </c>
      <c r="D230" s="21">
        <v>86.279999</v>
      </c>
      <c r="E230" s="21">
        <v>88.449997</v>
      </c>
      <c r="F230" s="21">
        <v>86.8993</v>
      </c>
      <c r="G230" s="21">
        <v>1.7408E7</v>
      </c>
      <c r="H230" s="1">
        <f t="shared" si="1"/>
        <v>6</v>
      </c>
      <c r="I230" s="1">
        <f t="shared" si="9"/>
        <v>13.90999441</v>
      </c>
    </row>
    <row r="231" ht="15.75" customHeight="1">
      <c r="A231" s="20">
        <v>44785.0</v>
      </c>
      <c r="B231" s="21">
        <v>92.480003</v>
      </c>
      <c r="C231" s="21">
        <v>94.019997</v>
      </c>
      <c r="D231" s="21">
        <v>92.110001</v>
      </c>
      <c r="E231" s="21">
        <v>94.0</v>
      </c>
      <c r="F231" s="21">
        <v>93.249321</v>
      </c>
      <c r="G231" s="21">
        <v>1.50582E7</v>
      </c>
      <c r="H231" s="1">
        <f t="shared" si="1"/>
        <v>6</v>
      </c>
      <c r="I231" s="1">
        <f t="shared" si="9"/>
        <v>3.31382889</v>
      </c>
    </row>
    <row r="232" ht="15.75" customHeight="1">
      <c r="A232" s="20">
        <v>44792.0</v>
      </c>
      <c r="B232" s="21">
        <v>94.160004</v>
      </c>
      <c r="C232" s="21">
        <v>95.199997</v>
      </c>
      <c r="D232" s="21">
        <v>93.800003</v>
      </c>
      <c r="E232" s="21">
        <v>94.080002</v>
      </c>
      <c r="F232" s="21">
        <v>93.328682</v>
      </c>
      <c r="G232" s="21">
        <v>1.61286E7</v>
      </c>
      <c r="H232" s="1">
        <f t="shared" si="1"/>
        <v>6</v>
      </c>
      <c r="I232" s="1">
        <f t="shared" si="9"/>
        <v>3.611499293</v>
      </c>
    </row>
    <row r="233" ht="15.75" customHeight="1">
      <c r="A233" s="20">
        <v>44799.0</v>
      </c>
      <c r="B233" s="21">
        <v>98.769997</v>
      </c>
      <c r="C233" s="21">
        <v>99.910004</v>
      </c>
      <c r="D233" s="21">
        <v>97.419998</v>
      </c>
      <c r="E233" s="21">
        <v>97.870003</v>
      </c>
      <c r="F233" s="21">
        <v>97.088417</v>
      </c>
      <c r="G233" s="21">
        <v>1.55314E7</v>
      </c>
      <c r="H233" s="1">
        <f t="shared" si="1"/>
        <v>6</v>
      </c>
      <c r="I233" s="1">
        <f t="shared" si="9"/>
        <v>32.38060106</v>
      </c>
    </row>
    <row r="234" ht="15.75" customHeight="1">
      <c r="A234" s="20">
        <v>44806.0</v>
      </c>
      <c r="B234" s="21">
        <v>96.349998</v>
      </c>
      <c r="C234" s="21">
        <v>96.790001</v>
      </c>
      <c r="D234" s="21">
        <v>95.110001</v>
      </c>
      <c r="E234" s="21">
        <v>95.589996</v>
      </c>
      <c r="F234" s="21">
        <v>94.826622</v>
      </c>
      <c r="G234" s="21">
        <v>1.82068E7</v>
      </c>
      <c r="H234" s="1">
        <f t="shared" si="1"/>
        <v>6</v>
      </c>
      <c r="I234" s="1">
        <f t="shared" si="9"/>
        <v>11.63074979</v>
      </c>
    </row>
    <row r="235" ht="15.75" customHeight="1">
      <c r="A235" s="20">
        <v>44813.0</v>
      </c>
      <c r="B235" s="21">
        <v>96.519997</v>
      </c>
      <c r="C235" s="21">
        <v>97.0</v>
      </c>
      <c r="D235" s="21">
        <v>95.32</v>
      </c>
      <c r="E235" s="21">
        <v>96.5</v>
      </c>
      <c r="F235" s="21">
        <v>95.729355</v>
      </c>
      <c r="G235" s="21">
        <v>1.7158E7</v>
      </c>
      <c r="H235" s="1">
        <f t="shared" si="1"/>
        <v>6</v>
      </c>
      <c r="I235" s="1">
        <f t="shared" si="9"/>
        <v>18.66579144</v>
      </c>
    </row>
    <row r="236" ht="15.75" customHeight="1">
      <c r="A236" s="20">
        <v>44820.0</v>
      </c>
      <c r="B236" s="21">
        <v>95.07</v>
      </c>
      <c r="C236" s="21">
        <v>95.339996</v>
      </c>
      <c r="D236" s="21">
        <v>92.0</v>
      </c>
      <c r="E236" s="21">
        <v>93.209999</v>
      </c>
      <c r="F236" s="21">
        <v>92.46563</v>
      </c>
      <c r="G236" s="21">
        <v>3.78747E7</v>
      </c>
      <c r="H236" s="1">
        <f t="shared" si="1"/>
        <v>6</v>
      </c>
      <c r="I236" s="1">
        <f t="shared" si="9"/>
        <v>1.061706663</v>
      </c>
    </row>
    <row r="237" ht="15.75" customHeight="1">
      <c r="A237" s="20">
        <v>44827.0</v>
      </c>
      <c r="B237" s="21">
        <v>87.5</v>
      </c>
      <c r="C237" s="21">
        <v>87.5</v>
      </c>
      <c r="D237" s="21">
        <v>84.849998</v>
      </c>
      <c r="E237" s="21">
        <v>85.75</v>
      </c>
      <c r="F237" s="21">
        <v>85.065208</v>
      </c>
      <c r="G237" s="21">
        <v>2.77388E7</v>
      </c>
      <c r="H237" s="1">
        <f t="shared" si="1"/>
        <v>6</v>
      </c>
      <c r="I237" s="1">
        <f t="shared" si="9"/>
        <v>41.33985248</v>
      </c>
    </row>
    <row r="238" ht="15.75" customHeight="1">
      <c r="A238" s="20">
        <v>44834.0</v>
      </c>
      <c r="B238" s="21">
        <v>88.169998</v>
      </c>
      <c r="C238" s="21">
        <v>89.040001</v>
      </c>
      <c r="D238" s="21">
        <v>87.309998</v>
      </c>
      <c r="E238" s="21">
        <v>87.309998</v>
      </c>
      <c r="F238" s="21">
        <v>86.612747</v>
      </c>
      <c r="G238" s="21">
        <v>2.13576E7</v>
      </c>
      <c r="H238" s="1">
        <f t="shared" si="1"/>
        <v>6</v>
      </c>
      <c r="I238" s="1">
        <f t="shared" si="9"/>
        <v>23.71309659</v>
      </c>
    </row>
    <row r="239" ht="15.75" customHeight="1">
      <c r="A239" s="20">
        <v>44841.0</v>
      </c>
      <c r="B239" s="21">
        <v>102.190002</v>
      </c>
      <c r="C239" s="21">
        <v>103.32</v>
      </c>
      <c r="D239" s="21">
        <v>100.18</v>
      </c>
      <c r="E239" s="21">
        <v>101.029999</v>
      </c>
      <c r="F239" s="21">
        <v>100.223175</v>
      </c>
      <c r="G239" s="21">
        <v>2.45076E7</v>
      </c>
      <c r="H239" s="1">
        <f t="shared" si="1"/>
        <v>6</v>
      </c>
      <c r="I239" s="1">
        <f t="shared" si="9"/>
        <v>78.32942988</v>
      </c>
    </row>
    <row r="240" ht="15.75" customHeight="1">
      <c r="A240" s="20">
        <v>44848.0</v>
      </c>
      <c r="B240" s="21">
        <v>101.120003</v>
      </c>
      <c r="C240" s="21">
        <v>102.239998</v>
      </c>
      <c r="D240" s="21">
        <v>99.040001</v>
      </c>
      <c r="E240" s="21">
        <v>99.190002</v>
      </c>
      <c r="F240" s="21">
        <v>98.397873</v>
      </c>
      <c r="G240" s="21">
        <v>1.5222E7</v>
      </c>
      <c r="H240" s="1">
        <f t="shared" si="1"/>
        <v>6</v>
      </c>
      <c r="I240" s="1">
        <f t="shared" si="9"/>
        <v>49.14563118</v>
      </c>
    </row>
    <row r="241" ht="15.75" customHeight="1">
      <c r="A241" s="20">
        <v>44855.0</v>
      </c>
      <c r="B241" s="21">
        <v>104.449997</v>
      </c>
      <c r="C241" s="21">
        <v>106.400002</v>
      </c>
      <c r="D241" s="21">
        <v>103.910004</v>
      </c>
      <c r="E241" s="21">
        <v>105.860001</v>
      </c>
      <c r="F241" s="21">
        <v>105.01461</v>
      </c>
      <c r="G241" s="21">
        <v>2.28141E7</v>
      </c>
      <c r="H241" s="1">
        <f t="shared" si="1"/>
        <v>6</v>
      </c>
      <c r="I241" s="1">
        <f t="shared" si="9"/>
        <v>187.1531666</v>
      </c>
    </row>
    <row r="242" ht="15.75" customHeight="1">
      <c r="A242" s="20">
        <v>44862.0</v>
      </c>
      <c r="B242" s="21">
        <v>109.459999</v>
      </c>
      <c r="C242" s="21">
        <v>111.209999</v>
      </c>
      <c r="D242" s="21">
        <v>108.120003</v>
      </c>
      <c r="E242" s="21">
        <v>110.699997</v>
      </c>
      <c r="F242" s="21">
        <v>109.815956</v>
      </c>
      <c r="G242" s="21">
        <v>2.81694E7</v>
      </c>
      <c r="H242" s="1">
        <f t="shared" si="1"/>
        <v>6</v>
      </c>
      <c r="I242" s="1">
        <f t="shared" si="9"/>
        <v>343.0048276</v>
      </c>
    </row>
    <row r="243" ht="15.75" customHeight="1">
      <c r="A243" s="20">
        <v>44869.0</v>
      </c>
      <c r="B243" s="21">
        <v>113.0</v>
      </c>
      <c r="C243" s="21">
        <v>113.5</v>
      </c>
      <c r="D243" s="21">
        <v>110.800003</v>
      </c>
      <c r="E243" s="21">
        <v>112.309998</v>
      </c>
      <c r="F243" s="21">
        <v>111.413094</v>
      </c>
      <c r="G243" s="21">
        <v>1.75415E7</v>
      </c>
      <c r="H243" s="1">
        <f t="shared" si="1"/>
        <v>6</v>
      </c>
      <c r="I243" s="1">
        <f t="shared" si="9"/>
        <v>405.2326221</v>
      </c>
    </row>
    <row r="244" ht="15.75" customHeight="1">
      <c r="A244" s="20">
        <v>44876.0</v>
      </c>
      <c r="B244" s="21">
        <v>112.580002</v>
      </c>
      <c r="C244" s="21">
        <v>114.5</v>
      </c>
      <c r="D244" s="21">
        <v>112.489998</v>
      </c>
      <c r="E244" s="21">
        <v>113.949997</v>
      </c>
      <c r="F244" s="21">
        <v>113.040001</v>
      </c>
      <c r="G244" s="21">
        <v>2.05189E7</v>
      </c>
      <c r="H244" s="1">
        <f t="shared" si="1"/>
        <v>6</v>
      </c>
      <c r="I244" s="1">
        <f t="shared" si="9"/>
        <v>473.9498594</v>
      </c>
    </row>
    <row r="245" ht="15.75" customHeight="1">
      <c r="A245" s="20">
        <v>44883.0</v>
      </c>
      <c r="B245" s="21">
        <v>110.900002</v>
      </c>
      <c r="C245" s="21">
        <v>112.480003</v>
      </c>
      <c r="D245" s="21">
        <v>109.610001</v>
      </c>
      <c r="E245" s="21">
        <v>112.080002</v>
      </c>
      <c r="F245" s="21">
        <v>112.080002</v>
      </c>
      <c r="G245" s="21">
        <v>1.5415E7</v>
      </c>
      <c r="H245" s="1">
        <f t="shared" si="1"/>
        <v>6</v>
      </c>
      <c r="I245" s="1">
        <f t="shared" si="9"/>
        <v>396.0257016</v>
      </c>
    </row>
    <row r="246" ht="15.75" customHeight="1">
      <c r="A246" s="20">
        <v>44890.0</v>
      </c>
      <c r="B246" s="21">
        <v>113.879997</v>
      </c>
      <c r="C246" s="21">
        <v>114.610001</v>
      </c>
      <c r="D246" s="21">
        <v>113.059998</v>
      </c>
      <c r="E246" s="21">
        <v>113.209999</v>
      </c>
      <c r="F246" s="21">
        <v>113.209999</v>
      </c>
      <c r="G246" s="21">
        <v>7136000.0</v>
      </c>
      <c r="H246" s="1">
        <f t="shared" si="1"/>
        <v>6</v>
      </c>
      <c r="I246" s="1">
        <f t="shared" si="9"/>
        <v>442.2773671</v>
      </c>
    </row>
    <row r="247" ht="15.75" customHeight="1">
      <c r="A247" s="20">
        <v>44897.0</v>
      </c>
      <c r="B247" s="21">
        <v>109.510002</v>
      </c>
      <c r="C247" s="21">
        <v>111.709999</v>
      </c>
      <c r="D247" s="21">
        <v>109.199997</v>
      </c>
      <c r="E247" s="21">
        <v>109.860001</v>
      </c>
      <c r="F247" s="21">
        <v>109.860001</v>
      </c>
      <c r="G247" s="21">
        <v>1.52484E7</v>
      </c>
      <c r="H247" s="1">
        <f t="shared" si="1"/>
        <v>6</v>
      </c>
      <c r="I247" s="1">
        <f t="shared" si="9"/>
        <v>312.5963147</v>
      </c>
    </row>
    <row r="248" ht="15.75" customHeight="1">
      <c r="A248" s="20">
        <v>44904.0</v>
      </c>
      <c r="B248" s="21">
        <v>104.589996</v>
      </c>
      <c r="C248" s="21">
        <v>105.949997</v>
      </c>
      <c r="D248" s="21">
        <v>103.300003</v>
      </c>
      <c r="E248" s="21">
        <v>103.540001</v>
      </c>
      <c r="F248" s="21">
        <v>103.540001</v>
      </c>
      <c r="G248" s="21">
        <v>2.12982E7</v>
      </c>
      <c r="H248" s="1">
        <f t="shared" si="1"/>
        <v>6</v>
      </c>
      <c r="I248" s="1">
        <f t="shared" si="9"/>
        <v>129.0585407</v>
      </c>
    </row>
    <row r="249" ht="15.75" customHeight="1">
      <c r="A249" s="20">
        <v>44911.0</v>
      </c>
      <c r="B249" s="21">
        <v>103.690002</v>
      </c>
      <c r="C249" s="21">
        <v>105.580002</v>
      </c>
      <c r="D249" s="21">
        <v>103.129997</v>
      </c>
      <c r="E249" s="21">
        <v>104.699997</v>
      </c>
      <c r="F249" s="21">
        <v>104.699997</v>
      </c>
      <c r="G249" s="21">
        <v>5.45966E7</v>
      </c>
      <c r="H249" s="1">
        <f t="shared" si="1"/>
        <v>6</v>
      </c>
      <c r="I249" s="1">
        <f t="shared" si="9"/>
        <v>156.7601535</v>
      </c>
    </row>
    <row r="250" ht="15.75" customHeight="1">
      <c r="A250" s="20">
        <v>44918.0</v>
      </c>
      <c r="B250" s="21">
        <v>106.949997</v>
      </c>
      <c r="C250" s="21">
        <v>108.739998</v>
      </c>
      <c r="D250" s="21">
        <v>106.900002</v>
      </c>
      <c r="E250" s="21">
        <v>108.68</v>
      </c>
      <c r="F250" s="21">
        <v>108.68</v>
      </c>
      <c r="G250" s="21">
        <v>1.15394E7</v>
      </c>
      <c r="H250" s="1">
        <f t="shared" si="1"/>
        <v>6</v>
      </c>
      <c r="I250" s="1">
        <f t="shared" si="9"/>
        <v>272.262953</v>
      </c>
    </row>
    <row r="251" ht="15.75" customHeight="1">
      <c r="A251" s="20">
        <v>44925.0</v>
      </c>
      <c r="B251" s="21">
        <v>108.610001</v>
      </c>
      <c r="C251" s="21">
        <v>110.5</v>
      </c>
      <c r="D251" s="21">
        <v>108.610001</v>
      </c>
      <c r="E251" s="21">
        <v>110.300003</v>
      </c>
      <c r="F251" s="21">
        <v>110.300003</v>
      </c>
      <c r="G251" s="21">
        <v>1.17933E7</v>
      </c>
      <c r="H251" s="1">
        <f t="shared" si="1"/>
        <v>6</v>
      </c>
      <c r="I251" s="1">
        <f t="shared" si="9"/>
        <v>328.3487334</v>
      </c>
    </row>
    <row r="252" ht="15.75" customHeight="1">
      <c r="A252" s="1" t="s">
        <v>0</v>
      </c>
      <c r="B252" s="1" t="s">
        <v>1</v>
      </c>
      <c r="C252" s="1" t="s">
        <v>2</v>
      </c>
      <c r="D252" s="1" t="s">
        <v>3</v>
      </c>
      <c r="E252" s="1" t="s">
        <v>4</v>
      </c>
      <c r="F252" s="1" t="s">
        <v>5</v>
      </c>
      <c r="G252" s="1" t="s">
        <v>6</v>
      </c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4">
        <v>44774.0</v>
      </c>
      <c r="B1" s="25">
        <v>94.790001</v>
      </c>
      <c r="C1" s="25">
        <v>95.349998</v>
      </c>
      <c r="D1" s="25">
        <v>93.230003</v>
      </c>
      <c r="E1" s="25">
        <v>94.480003</v>
      </c>
      <c r="F1" s="25">
        <v>92.823601</v>
      </c>
      <c r="G1" s="25">
        <v>2.07932E7</v>
      </c>
      <c r="H1" s="25">
        <f t="shared" ref="H1:H251" si="1">DAY(A1)</f>
        <v>1</v>
      </c>
      <c r="I1" s="25">
        <f>(E1-$L$4)^2</f>
        <v>0.03422601751</v>
      </c>
      <c r="J1" s="25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24">
        <v>44593.0</v>
      </c>
      <c r="B2" s="25">
        <v>76.449997</v>
      </c>
      <c r="C2" s="25">
        <v>81.510002</v>
      </c>
      <c r="D2" s="25">
        <v>76.269997</v>
      </c>
      <c r="E2" s="25">
        <v>80.830002</v>
      </c>
      <c r="F2" s="25">
        <v>77.745819</v>
      </c>
      <c r="G2" s="25">
        <v>6.10331E7</v>
      </c>
      <c r="H2" s="25">
        <f t="shared" si="1"/>
        <v>1</v>
      </c>
      <c r="I2" s="25">
        <f t="shared" ref="I2:I4" si="2">(E2-$L$5)^2</f>
        <v>54.28001389</v>
      </c>
      <c r="J2" s="25"/>
      <c r="K2" s="26" t="s">
        <v>14</v>
      </c>
      <c r="L2" s="26" t="s">
        <v>15</v>
      </c>
      <c r="M2" s="26" t="s">
        <v>16</v>
      </c>
      <c r="N2" s="3"/>
      <c r="O2" s="3"/>
      <c r="P2" s="3"/>
      <c r="Q2" s="3"/>
      <c r="R2" s="3"/>
      <c r="S2" s="3"/>
      <c r="T2" s="3"/>
    </row>
    <row r="3">
      <c r="A3" s="24">
        <v>44621.0</v>
      </c>
      <c r="B3" s="25">
        <v>78.769997</v>
      </c>
      <c r="C3" s="25">
        <v>80.650002</v>
      </c>
      <c r="D3" s="25">
        <v>78.330002</v>
      </c>
      <c r="E3" s="25">
        <v>79.169998</v>
      </c>
      <c r="F3" s="25">
        <v>76.99334</v>
      </c>
      <c r="G3" s="25">
        <v>4.00023E7</v>
      </c>
      <c r="H3" s="25">
        <f t="shared" si="1"/>
        <v>1</v>
      </c>
      <c r="I3" s="25">
        <f t="shared" si="2"/>
        <v>81.49577656</v>
      </c>
      <c r="J3" s="25"/>
      <c r="K3" s="27">
        <v>1.0</v>
      </c>
      <c r="L3" s="27">
        <f>AVERAGE(E1:E9)</f>
        <v>93.28555722</v>
      </c>
      <c r="M3" s="27">
        <f t="shared" ref="M3:M33" si="3">(L3-$L$34)^2</f>
        <v>2.67854387</v>
      </c>
      <c r="N3" s="3"/>
      <c r="O3" s="3"/>
      <c r="P3" s="3"/>
      <c r="Q3" s="3"/>
      <c r="R3" s="3"/>
      <c r="S3" s="3"/>
      <c r="T3" s="3"/>
    </row>
    <row r="4">
      <c r="A4" s="24">
        <v>44866.0</v>
      </c>
      <c r="B4" s="25">
        <v>112.370003</v>
      </c>
      <c r="C4" s="25">
        <v>112.57</v>
      </c>
      <c r="D4" s="25">
        <v>110.650002</v>
      </c>
      <c r="E4" s="25">
        <v>111.910004</v>
      </c>
      <c r="F4" s="25">
        <v>111.016296</v>
      </c>
      <c r="G4" s="25">
        <v>2.22131E7</v>
      </c>
      <c r="H4" s="25">
        <f t="shared" si="1"/>
        <v>1</v>
      </c>
      <c r="I4" s="25">
        <f t="shared" si="2"/>
        <v>562.2828874</v>
      </c>
      <c r="J4" s="25"/>
      <c r="K4" s="27">
        <v>2.0</v>
      </c>
      <c r="L4" s="27">
        <f>AVERAGE(E10:E17)</f>
        <v>94.29500025</v>
      </c>
      <c r="M4" s="27">
        <f t="shared" si="3"/>
        <v>7.001680016</v>
      </c>
      <c r="N4" s="3"/>
      <c r="O4" s="3"/>
      <c r="P4" s="3"/>
      <c r="Q4" s="3"/>
      <c r="R4" s="3"/>
      <c r="S4" s="3"/>
      <c r="T4" s="3"/>
    </row>
    <row r="5">
      <c r="A5" s="24">
        <v>44713.0</v>
      </c>
      <c r="B5" s="25">
        <v>97.019997</v>
      </c>
      <c r="C5" s="25">
        <v>98.709999</v>
      </c>
      <c r="D5" s="25">
        <v>96.620003</v>
      </c>
      <c r="E5" s="25">
        <v>97.839996</v>
      </c>
      <c r="F5" s="25">
        <v>96.12468</v>
      </c>
      <c r="G5" s="25">
        <v>2.58154E7</v>
      </c>
      <c r="H5" s="25">
        <f t="shared" si="1"/>
        <v>1</v>
      </c>
      <c r="I5" s="25">
        <f>(E5-$L$6)^2</f>
        <v>104.1929797</v>
      </c>
      <c r="J5" s="25"/>
      <c r="K5" s="27">
        <v>3.0</v>
      </c>
      <c r="L5" s="27">
        <f>AVERAGE(E18:E25)</f>
        <v>88.19749913</v>
      </c>
      <c r="M5" s="27">
        <f t="shared" si="3"/>
        <v>11.9123852</v>
      </c>
      <c r="N5" s="3"/>
      <c r="O5" s="3"/>
      <c r="P5" s="3"/>
      <c r="Q5" s="3"/>
      <c r="R5" s="3"/>
      <c r="S5" s="3"/>
      <c r="T5" s="3"/>
    </row>
    <row r="6">
      <c r="A6" s="24">
        <v>44805.0</v>
      </c>
      <c r="B6" s="25">
        <v>94.419998</v>
      </c>
      <c r="C6" s="25">
        <v>95.07</v>
      </c>
      <c r="D6" s="25">
        <v>92.290001</v>
      </c>
      <c r="E6" s="25">
        <v>93.870003</v>
      </c>
      <c r="F6" s="25">
        <v>93.120361</v>
      </c>
      <c r="G6" s="25">
        <v>1.6423E7</v>
      </c>
      <c r="H6" s="25">
        <f t="shared" si="1"/>
        <v>1</v>
      </c>
      <c r="I6" s="25">
        <f t="shared" ref="I6:I7" si="4">(E6-$L$7)^2</f>
        <v>29.57809648</v>
      </c>
      <c r="J6" s="25"/>
      <c r="K6" s="27">
        <v>4.0</v>
      </c>
      <c r="L6" s="27">
        <f>AVERAGE(E26:E33)</f>
        <v>87.63249975</v>
      </c>
      <c r="M6" s="27">
        <f t="shared" si="3"/>
        <v>16.13172372</v>
      </c>
      <c r="N6" s="3"/>
      <c r="O6" s="3"/>
      <c r="P6" s="3"/>
      <c r="Q6" s="3"/>
      <c r="R6" s="3"/>
      <c r="S6" s="3"/>
      <c r="T6" s="3"/>
    </row>
    <row r="7">
      <c r="A7" s="24">
        <v>44896.0</v>
      </c>
      <c r="B7" s="25">
        <v>111.639999</v>
      </c>
      <c r="C7" s="25">
        <v>112.07</v>
      </c>
      <c r="D7" s="25">
        <v>110.18</v>
      </c>
      <c r="E7" s="25">
        <v>110.800003</v>
      </c>
      <c r="F7" s="25">
        <v>110.800003</v>
      </c>
      <c r="G7" s="25">
        <v>1.43983E7</v>
      </c>
      <c r="H7" s="25">
        <f t="shared" si="1"/>
        <v>1</v>
      </c>
      <c r="I7" s="25">
        <f t="shared" si="4"/>
        <v>500.3531411</v>
      </c>
      <c r="J7" s="25"/>
      <c r="K7" s="27">
        <v>5.0</v>
      </c>
      <c r="L7" s="27">
        <f>AVERAGE(E34:E40)</f>
        <v>88.43142814</v>
      </c>
      <c r="M7" s="27">
        <f t="shared" si="3"/>
        <v>10.35232763</v>
      </c>
      <c r="N7" s="3"/>
    </row>
    <row r="8">
      <c r="A8" s="24">
        <v>44652.0</v>
      </c>
      <c r="B8" s="25">
        <v>81.989998</v>
      </c>
      <c r="C8" s="25">
        <v>84.139999</v>
      </c>
      <c r="D8" s="25">
        <v>81.989998</v>
      </c>
      <c r="E8" s="25">
        <v>83.120003</v>
      </c>
      <c r="F8" s="25">
        <v>80.83474</v>
      </c>
      <c r="G8" s="25">
        <v>1.86711E7</v>
      </c>
      <c r="H8" s="25">
        <f t="shared" si="1"/>
        <v>1</v>
      </c>
      <c r="I8" s="25">
        <f t="shared" ref="I8:I9" si="5">(E8-$L$8)^2</f>
        <v>59.50187542</v>
      </c>
      <c r="J8" s="25"/>
      <c r="K8" s="27">
        <v>6.0</v>
      </c>
      <c r="L8" s="27">
        <f>AVERAGE(E41:E48)</f>
        <v>90.83374888</v>
      </c>
      <c r="M8" s="27">
        <f t="shared" si="3"/>
        <v>0.6645226546</v>
      </c>
      <c r="N8" s="3"/>
    </row>
    <row r="9">
      <c r="A9" s="24">
        <v>44743.0</v>
      </c>
      <c r="B9" s="25">
        <v>86.739998</v>
      </c>
      <c r="C9" s="25">
        <v>87.879997</v>
      </c>
      <c r="D9" s="25">
        <v>84.709999</v>
      </c>
      <c r="E9" s="25">
        <v>87.550003</v>
      </c>
      <c r="F9" s="25">
        <v>86.015083</v>
      </c>
      <c r="G9" s="25">
        <v>2.63279E7</v>
      </c>
      <c r="H9" s="25">
        <f t="shared" si="1"/>
        <v>1</v>
      </c>
      <c r="I9" s="25">
        <f t="shared" si="5"/>
        <v>10.78298697</v>
      </c>
      <c r="J9" s="25"/>
      <c r="K9" s="27">
        <v>7.0</v>
      </c>
      <c r="L9" s="27">
        <f>AVERAGE(E49:E58)</f>
        <v>92.5210006</v>
      </c>
      <c r="M9" s="27">
        <f t="shared" si="3"/>
        <v>0.7605045767</v>
      </c>
      <c r="N9" s="3"/>
    </row>
    <row r="10">
      <c r="A10" s="24">
        <v>44683.0</v>
      </c>
      <c r="B10" s="25">
        <v>85.010002</v>
      </c>
      <c r="C10" s="25">
        <v>87.040001</v>
      </c>
      <c r="D10" s="25">
        <v>84.629997</v>
      </c>
      <c r="E10" s="25">
        <v>86.410004</v>
      </c>
      <c r="F10" s="25">
        <v>84.034294</v>
      </c>
      <c r="G10" s="25">
        <v>3.63352E7</v>
      </c>
      <c r="H10" s="25">
        <f t="shared" si="1"/>
        <v>2</v>
      </c>
      <c r="I10" s="25">
        <f>(E10-$L$4)^2</f>
        <v>62.17316586</v>
      </c>
      <c r="J10" s="25"/>
      <c r="K10" s="27">
        <v>8.0</v>
      </c>
      <c r="L10" s="27">
        <f>AVERAGE(E59:E67)</f>
        <v>94.20333267</v>
      </c>
      <c r="M10" s="27">
        <f t="shared" si="3"/>
        <v>6.524965501</v>
      </c>
      <c r="N10" s="3"/>
    </row>
    <row r="11">
      <c r="A11" s="24">
        <v>44775.0</v>
      </c>
      <c r="B11" s="25">
        <v>94.690002</v>
      </c>
      <c r="C11" s="25">
        <v>95.199997</v>
      </c>
      <c r="D11" s="25">
        <v>93.82</v>
      </c>
      <c r="E11" s="25">
        <v>94.07</v>
      </c>
      <c r="F11" s="25">
        <v>92.420784</v>
      </c>
      <c r="G11" s="25">
        <v>1.67225E7</v>
      </c>
      <c r="H11" s="25">
        <f t="shared" si="1"/>
        <v>2</v>
      </c>
      <c r="I11" s="25">
        <f>(E11-$L$5)^2</f>
        <v>34.48626653</v>
      </c>
      <c r="J11" s="25"/>
      <c r="K11" s="27">
        <v>9.0</v>
      </c>
      <c r="L11" s="27">
        <f>AVERAGE(E68:E75)</f>
        <v>93.51375013</v>
      </c>
      <c r="M11" s="27">
        <f t="shared" si="3"/>
        <v>3.477548636</v>
      </c>
      <c r="N11" s="3"/>
    </row>
    <row r="12">
      <c r="A12" s="24">
        <v>44594.0</v>
      </c>
      <c r="B12" s="25">
        <v>80.059998</v>
      </c>
      <c r="C12" s="25">
        <v>80.809998</v>
      </c>
      <c r="D12" s="25">
        <v>79.150002</v>
      </c>
      <c r="E12" s="25">
        <v>80.620003</v>
      </c>
      <c r="F12" s="25">
        <v>77.543839</v>
      </c>
      <c r="G12" s="25">
        <v>3.02993E7</v>
      </c>
      <c r="H12" s="25">
        <f t="shared" si="1"/>
        <v>2</v>
      </c>
      <c r="I12" s="25">
        <f t="shared" ref="I12:I14" si="6">(E12-$L$6)^2</f>
        <v>49.17511067</v>
      </c>
      <c r="J12" s="25"/>
      <c r="K12" s="27">
        <v>10.0</v>
      </c>
      <c r="L12" s="27">
        <f>AVERAGE(E76:E83)</f>
        <v>89.79249863</v>
      </c>
      <c r="M12" s="27">
        <f t="shared" si="3"/>
        <v>3.446342888</v>
      </c>
      <c r="N12" s="3"/>
    </row>
    <row r="13">
      <c r="A13" s="24">
        <v>44622.0</v>
      </c>
      <c r="B13" s="25">
        <v>80.599998</v>
      </c>
      <c r="C13" s="25">
        <v>82.150002</v>
      </c>
      <c r="D13" s="25">
        <v>79.82</v>
      </c>
      <c r="E13" s="25">
        <v>80.529999</v>
      </c>
      <c r="F13" s="25">
        <v>78.315941</v>
      </c>
      <c r="G13" s="25">
        <v>4.43214E7</v>
      </c>
      <c r="H13" s="25">
        <f t="shared" si="1"/>
        <v>2</v>
      </c>
      <c r="I13" s="25">
        <f t="shared" si="6"/>
        <v>50.4455169</v>
      </c>
      <c r="J13" s="25"/>
      <c r="K13" s="27">
        <v>11.0</v>
      </c>
      <c r="L13" s="27">
        <f>AVERAGE(E84:E92)</f>
        <v>88.65555467</v>
      </c>
      <c r="M13" s="27">
        <f t="shared" si="3"/>
        <v>8.960304655</v>
      </c>
      <c r="N13" s="3"/>
    </row>
    <row r="14">
      <c r="A14" s="24">
        <v>44867.0</v>
      </c>
      <c r="B14" s="25">
        <v>111.580002</v>
      </c>
      <c r="C14" s="25">
        <v>112.099998</v>
      </c>
      <c r="D14" s="25">
        <v>109.309998</v>
      </c>
      <c r="E14" s="25">
        <v>109.610001</v>
      </c>
      <c r="F14" s="25">
        <v>108.734657</v>
      </c>
      <c r="G14" s="25">
        <v>2.06542E7</v>
      </c>
      <c r="H14" s="25">
        <f t="shared" si="1"/>
        <v>2</v>
      </c>
      <c r="I14" s="25">
        <f t="shared" si="6"/>
        <v>483.0105612</v>
      </c>
      <c r="J14" s="25"/>
      <c r="K14" s="27">
        <v>12.0</v>
      </c>
      <c r="L14" s="27">
        <f>AVERAGE(E93:E100)</f>
        <v>90.45874963</v>
      </c>
      <c r="M14" s="27">
        <f t="shared" si="3"/>
        <v>1.416532812</v>
      </c>
      <c r="N14" s="3"/>
    </row>
    <row r="15">
      <c r="A15" s="24">
        <v>44714.0</v>
      </c>
      <c r="B15" s="25">
        <v>97.290001</v>
      </c>
      <c r="C15" s="25">
        <v>98.099998</v>
      </c>
      <c r="D15" s="25">
        <v>96.790001</v>
      </c>
      <c r="E15" s="25">
        <v>97.669998</v>
      </c>
      <c r="F15" s="25">
        <v>95.957657</v>
      </c>
      <c r="G15" s="25">
        <v>1.90891E7</v>
      </c>
      <c r="H15" s="25">
        <f t="shared" si="1"/>
        <v>2</v>
      </c>
      <c r="I15" s="25">
        <f>(E15-$L$7)^2</f>
        <v>85.35117301</v>
      </c>
      <c r="J15" s="25"/>
      <c r="K15" s="27">
        <v>13.0</v>
      </c>
      <c r="L15" s="27">
        <f>AVERAGE(E101:E108)</f>
        <v>91.42999938</v>
      </c>
      <c r="M15" s="27">
        <f t="shared" si="3"/>
        <v>0.04793125991</v>
      </c>
      <c r="N15" s="3"/>
    </row>
    <row r="16">
      <c r="A16" s="24">
        <v>44806.0</v>
      </c>
      <c r="B16" s="25">
        <v>96.349998</v>
      </c>
      <c r="C16" s="25">
        <v>96.790001</v>
      </c>
      <c r="D16" s="25">
        <v>95.110001</v>
      </c>
      <c r="E16" s="25">
        <v>95.589996</v>
      </c>
      <c r="F16" s="25">
        <v>94.826622</v>
      </c>
      <c r="G16" s="25">
        <v>1.82068E7</v>
      </c>
      <c r="H16" s="25">
        <f t="shared" si="1"/>
        <v>2</v>
      </c>
      <c r="I16" s="25">
        <f t="shared" ref="I16:I17" si="7">(E16-$L$8)^2</f>
        <v>22.62188671</v>
      </c>
      <c r="J16" s="25"/>
      <c r="K16" s="27">
        <v>14.0</v>
      </c>
      <c r="L16" s="27">
        <f>AVERAGE(E109:E118)</f>
        <v>91.6490004</v>
      </c>
      <c r="M16" s="27">
        <f t="shared" si="3"/>
        <v>0.000000004752072699</v>
      </c>
      <c r="N16" s="3"/>
    </row>
    <row r="17">
      <c r="A17" s="24">
        <v>44897.0</v>
      </c>
      <c r="B17" s="25">
        <v>109.510002</v>
      </c>
      <c r="C17" s="25">
        <v>111.709999</v>
      </c>
      <c r="D17" s="25">
        <v>109.199997</v>
      </c>
      <c r="E17" s="25">
        <v>109.860001</v>
      </c>
      <c r="F17" s="25">
        <v>109.860001</v>
      </c>
      <c r="G17" s="25">
        <v>1.52484E7</v>
      </c>
      <c r="H17" s="25">
        <f t="shared" si="1"/>
        <v>2</v>
      </c>
      <c r="I17" s="25">
        <f t="shared" si="7"/>
        <v>361.9982699</v>
      </c>
      <c r="J17" s="25"/>
      <c r="K17" s="27">
        <v>15.0</v>
      </c>
      <c r="L17" s="27">
        <f>AVERAGE(E119:E126)</f>
        <v>92.67</v>
      </c>
      <c r="M17" s="27">
        <f t="shared" si="3"/>
        <v>1.042580954</v>
      </c>
      <c r="N17" s="3"/>
      <c r="Q17" s="1"/>
    </row>
    <row r="18">
      <c r="A18" s="24">
        <v>44564.0</v>
      </c>
      <c r="B18" s="25">
        <v>61.240002</v>
      </c>
      <c r="C18" s="25">
        <v>63.599998</v>
      </c>
      <c r="D18" s="25">
        <v>61.209999</v>
      </c>
      <c r="E18" s="25">
        <v>63.540001</v>
      </c>
      <c r="F18" s="25">
        <v>61.115536</v>
      </c>
      <c r="G18" s="25">
        <v>2.42824E7</v>
      </c>
      <c r="H18" s="25">
        <f t="shared" si="1"/>
        <v>3</v>
      </c>
      <c r="I18" s="25">
        <f t="shared" ref="I18:I19" si="8">(E18-$L$4)^2</f>
        <v>945.8699789</v>
      </c>
      <c r="J18" s="25"/>
      <c r="K18" s="27">
        <v>16.0</v>
      </c>
      <c r="L18" s="27">
        <f>AVERAGE(E127:E134)</f>
        <v>92.48749913</v>
      </c>
      <c r="M18" s="27">
        <f t="shared" si="3"/>
        <v>0.7031957209</v>
      </c>
      <c r="N18" s="3"/>
    </row>
    <row r="19">
      <c r="A19" s="24">
        <v>44837.0</v>
      </c>
      <c r="B19" s="25">
        <v>90.040001</v>
      </c>
      <c r="C19" s="25">
        <v>92.360001</v>
      </c>
      <c r="D19" s="25">
        <v>89.720001</v>
      </c>
      <c r="E19" s="25">
        <v>91.919998</v>
      </c>
      <c r="F19" s="25">
        <v>91.185928</v>
      </c>
      <c r="G19" s="25">
        <v>2.38813E7</v>
      </c>
      <c r="H19" s="25">
        <f t="shared" si="1"/>
        <v>3</v>
      </c>
      <c r="I19" s="25">
        <f t="shared" si="8"/>
        <v>5.640635688</v>
      </c>
      <c r="J19" s="25"/>
      <c r="K19" s="27">
        <v>17.0</v>
      </c>
      <c r="L19" s="27">
        <f>AVERAGE(E135:E141)</f>
        <v>91.617144</v>
      </c>
      <c r="M19" s="27">
        <f t="shared" si="3"/>
        <v>0.001010442913</v>
      </c>
      <c r="N19" s="3"/>
    </row>
    <row r="20">
      <c r="A20" s="24">
        <v>44684.0</v>
      </c>
      <c r="B20" s="25">
        <v>86.260002</v>
      </c>
      <c r="C20" s="25">
        <v>88.779999</v>
      </c>
      <c r="D20" s="25">
        <v>86.120003</v>
      </c>
      <c r="E20" s="25">
        <v>88.190002</v>
      </c>
      <c r="F20" s="25">
        <v>85.765343</v>
      </c>
      <c r="G20" s="25">
        <v>3.39081E7</v>
      </c>
      <c r="H20" s="25">
        <f t="shared" si="1"/>
        <v>3</v>
      </c>
      <c r="I20" s="25">
        <f>(E20-$L$5)^2</f>
        <v>0.00005620688327</v>
      </c>
      <c r="J20" s="25"/>
      <c r="K20" s="27">
        <v>18.0</v>
      </c>
      <c r="L20" s="27">
        <f>AVERAGE(E142:E150)</f>
        <v>89.07444511</v>
      </c>
      <c r="M20" s="27">
        <f t="shared" si="3"/>
        <v>6.627979985</v>
      </c>
      <c r="N20" s="3"/>
    </row>
    <row r="21">
      <c r="A21" s="24">
        <v>44776.0</v>
      </c>
      <c r="B21" s="25">
        <v>94.419998</v>
      </c>
      <c r="C21" s="25">
        <v>94.419998</v>
      </c>
      <c r="D21" s="25">
        <v>90.790001</v>
      </c>
      <c r="E21" s="25">
        <v>91.019997</v>
      </c>
      <c r="F21" s="25">
        <v>89.424248</v>
      </c>
      <c r="G21" s="25">
        <v>2.35808E7</v>
      </c>
      <c r="H21" s="25">
        <f t="shared" si="1"/>
        <v>3</v>
      </c>
      <c r="I21" s="25">
        <f>(E21-$L$6)^2</f>
        <v>11.47513762</v>
      </c>
      <c r="J21" s="25"/>
      <c r="K21" s="27">
        <v>19.0</v>
      </c>
      <c r="L21" s="27">
        <f>AVERAGE(E151:E158)</f>
        <v>92.06499963</v>
      </c>
      <c r="M21" s="27">
        <f t="shared" si="3"/>
        <v>0.173112714</v>
      </c>
      <c r="N21" s="3"/>
      <c r="Q21" s="1"/>
      <c r="R21" s="1"/>
    </row>
    <row r="22">
      <c r="A22" s="24">
        <v>44595.0</v>
      </c>
      <c r="B22" s="25">
        <v>80.089996</v>
      </c>
      <c r="C22" s="25">
        <v>80.309998</v>
      </c>
      <c r="D22" s="25">
        <v>79.019997</v>
      </c>
      <c r="E22" s="25">
        <v>79.68</v>
      </c>
      <c r="F22" s="25">
        <v>76.639694</v>
      </c>
      <c r="G22" s="25">
        <v>2.85294E7</v>
      </c>
      <c r="H22" s="25">
        <f t="shared" si="1"/>
        <v>3</v>
      </c>
      <c r="I22" s="25">
        <f t="shared" ref="I22:I24" si="9">(E22-$L$7)^2</f>
        <v>76.58749454</v>
      </c>
      <c r="J22" s="25"/>
      <c r="K22" s="27">
        <v>20.0</v>
      </c>
      <c r="L22" s="27">
        <f>AVERAGE(E159:E165)</f>
        <v>92.19857129</v>
      </c>
      <c r="M22" s="27">
        <f t="shared" si="3"/>
        <v>0.3021039328</v>
      </c>
      <c r="N22" s="3"/>
      <c r="Q22" s="1"/>
      <c r="R22" s="1"/>
    </row>
    <row r="23">
      <c r="A23" s="24">
        <v>44623.0</v>
      </c>
      <c r="B23" s="25">
        <v>79.860001</v>
      </c>
      <c r="C23" s="25">
        <v>81.769997</v>
      </c>
      <c r="D23" s="25">
        <v>79.629997</v>
      </c>
      <c r="E23" s="25">
        <v>81.040001</v>
      </c>
      <c r="F23" s="25">
        <v>78.811935</v>
      </c>
      <c r="G23" s="25">
        <v>3.01966E7</v>
      </c>
      <c r="H23" s="25">
        <f t="shared" si="1"/>
        <v>3</v>
      </c>
      <c r="I23" s="25">
        <f t="shared" si="9"/>
        <v>54.63319521</v>
      </c>
      <c r="J23" s="25"/>
      <c r="K23" s="27">
        <v>21.0</v>
      </c>
      <c r="L23" s="27">
        <f>AVERAGE(E166:E174)</f>
        <v>92.94111044</v>
      </c>
      <c r="M23" s="27">
        <f t="shared" si="3"/>
        <v>1.669726516</v>
      </c>
      <c r="N23" s="3"/>
      <c r="Q23" s="1"/>
      <c r="R23" s="1"/>
    </row>
    <row r="24">
      <c r="A24" s="24">
        <v>44868.0</v>
      </c>
      <c r="B24" s="25">
        <v>108.580002</v>
      </c>
      <c r="C24" s="25">
        <v>111.82</v>
      </c>
      <c r="D24" s="25">
        <v>108.309998</v>
      </c>
      <c r="E24" s="25">
        <v>111.099998</v>
      </c>
      <c r="F24" s="25">
        <v>110.212761</v>
      </c>
      <c r="G24" s="25">
        <v>1.71037E7</v>
      </c>
      <c r="H24" s="25">
        <f t="shared" si="1"/>
        <v>3</v>
      </c>
      <c r="I24" s="25">
        <f t="shared" si="9"/>
        <v>513.8640594</v>
      </c>
      <c r="J24" s="25"/>
      <c r="K24" s="27">
        <v>22.0</v>
      </c>
      <c r="L24" s="27">
        <f>AVERAGE(E175:E183)</f>
        <v>91.44555489</v>
      </c>
      <c r="M24" s="27">
        <f t="shared" si="3"/>
        <v>0.0413620316</v>
      </c>
      <c r="N24" s="3"/>
      <c r="Q24" s="1"/>
      <c r="R24" s="1"/>
    </row>
    <row r="25">
      <c r="A25" s="24">
        <v>44715.0</v>
      </c>
      <c r="B25" s="25">
        <v>97.900002</v>
      </c>
      <c r="C25" s="25">
        <v>99.660004</v>
      </c>
      <c r="D25" s="25">
        <v>97.900002</v>
      </c>
      <c r="E25" s="25">
        <v>99.089996</v>
      </c>
      <c r="F25" s="25">
        <v>97.352768</v>
      </c>
      <c r="G25" s="25">
        <v>2.10382E7</v>
      </c>
      <c r="H25" s="25">
        <f t="shared" si="1"/>
        <v>3</v>
      </c>
      <c r="I25" s="25">
        <f>(E25-$L$8)^2</f>
        <v>68.16561659</v>
      </c>
      <c r="J25" s="25"/>
      <c r="K25" s="27">
        <v>23.0</v>
      </c>
      <c r="L25" s="27">
        <f>AVERAGE(E184:E191)</f>
        <v>93.12999913</v>
      </c>
      <c r="M25" s="27">
        <f t="shared" si="3"/>
        <v>2.193561414</v>
      </c>
      <c r="N25" s="3"/>
    </row>
    <row r="26">
      <c r="A26" s="24">
        <v>44655.0</v>
      </c>
      <c r="B26" s="25">
        <v>83.559998</v>
      </c>
      <c r="C26" s="25">
        <v>83.660004</v>
      </c>
      <c r="D26" s="25">
        <v>82.050003</v>
      </c>
      <c r="E26" s="25">
        <v>83.160004</v>
      </c>
      <c r="F26" s="25">
        <v>80.87365</v>
      </c>
      <c r="G26" s="25">
        <v>2.08694E7</v>
      </c>
      <c r="H26" s="25">
        <f t="shared" si="1"/>
        <v>4</v>
      </c>
      <c r="I26" s="25">
        <f>(E26-$L$4)^2</f>
        <v>123.9881415</v>
      </c>
      <c r="J26" s="25"/>
      <c r="K26" s="27">
        <v>24.0</v>
      </c>
      <c r="L26" s="27">
        <f>AVERAGE(E192:E198)</f>
        <v>88.35000071</v>
      </c>
      <c r="M26" s="27">
        <f t="shared" si="3"/>
        <v>10.8829441</v>
      </c>
      <c r="N26" s="3"/>
      <c r="O26" s="3"/>
      <c r="P26" s="3"/>
      <c r="Q26" s="3"/>
      <c r="R26" s="3"/>
      <c r="S26" s="3"/>
      <c r="T26" s="3"/>
    </row>
    <row r="27">
      <c r="A27" s="24">
        <v>44565.0</v>
      </c>
      <c r="B27" s="25">
        <v>64.129997</v>
      </c>
      <c r="C27" s="25">
        <v>66.190002</v>
      </c>
      <c r="D27" s="25">
        <v>64.099998</v>
      </c>
      <c r="E27" s="25">
        <v>65.93</v>
      </c>
      <c r="F27" s="25">
        <v>63.414337</v>
      </c>
      <c r="G27" s="25">
        <v>3.8584E7</v>
      </c>
      <c r="H27" s="25">
        <f t="shared" si="1"/>
        <v>4</v>
      </c>
      <c r="I27" s="25">
        <f t="shared" ref="I27:I28" si="10">(E27-$L$5)^2</f>
        <v>495.8415173</v>
      </c>
      <c r="J27" s="25"/>
      <c r="K27" s="27">
        <v>25.0</v>
      </c>
      <c r="L27" s="27">
        <f>AVERAGE(E199:E207)</f>
        <v>91.63222144</v>
      </c>
      <c r="M27" s="27">
        <f t="shared" si="3"/>
        <v>0.0002792247776</v>
      </c>
      <c r="N27" s="3"/>
      <c r="O27" s="3"/>
      <c r="P27" s="3"/>
      <c r="Q27" s="3"/>
      <c r="R27" s="3"/>
      <c r="S27" s="3"/>
      <c r="T27" s="3"/>
    </row>
    <row r="28">
      <c r="A28" s="24">
        <v>44838.0</v>
      </c>
      <c r="B28" s="25">
        <v>93.239998</v>
      </c>
      <c r="C28" s="25">
        <v>95.360001</v>
      </c>
      <c r="D28" s="25">
        <v>92.709999</v>
      </c>
      <c r="E28" s="25">
        <v>95.269997</v>
      </c>
      <c r="F28" s="25">
        <v>94.509178</v>
      </c>
      <c r="G28" s="25">
        <v>2.21337E7</v>
      </c>
      <c r="H28" s="25">
        <f t="shared" si="1"/>
        <v>4</v>
      </c>
      <c r="I28" s="25">
        <f t="shared" si="10"/>
        <v>50.02022619</v>
      </c>
      <c r="J28" s="25"/>
      <c r="K28" s="27">
        <v>26.0</v>
      </c>
      <c r="L28" s="27">
        <f>AVERAGE(E208:E214)</f>
        <v>90.24571429</v>
      </c>
      <c r="M28" s="27">
        <f t="shared" si="3"/>
        <v>1.969018451</v>
      </c>
      <c r="N28" s="3"/>
      <c r="O28" s="3"/>
      <c r="P28" s="3"/>
      <c r="Q28" s="3"/>
      <c r="R28" s="3"/>
      <c r="S28" s="3"/>
      <c r="T28" s="3"/>
    </row>
    <row r="29">
      <c r="A29" s="24">
        <v>44685.0</v>
      </c>
      <c r="B29" s="25">
        <v>89.5</v>
      </c>
      <c r="C29" s="25">
        <v>91.879997</v>
      </c>
      <c r="D29" s="25">
        <v>88.910004</v>
      </c>
      <c r="E29" s="25">
        <v>91.699997</v>
      </c>
      <c r="F29" s="25">
        <v>89.178841</v>
      </c>
      <c r="G29" s="25">
        <v>4.61884E7</v>
      </c>
      <c r="H29" s="25">
        <f t="shared" si="1"/>
        <v>4</v>
      </c>
      <c r="I29" s="25">
        <f>(E29-$L$6)^2</f>
        <v>16.54453388</v>
      </c>
      <c r="J29" s="25"/>
      <c r="K29" s="27">
        <v>27.0</v>
      </c>
      <c r="L29" s="27">
        <f>AVERAGE(E215:E222)</f>
        <v>92.67875</v>
      </c>
      <c r="M29" s="27">
        <f t="shared" si="3"/>
        <v>1.060526216</v>
      </c>
      <c r="N29" s="3"/>
      <c r="O29" s="3"/>
      <c r="P29" s="3"/>
      <c r="Q29" s="3"/>
      <c r="R29" s="3"/>
      <c r="S29" s="3"/>
      <c r="T29" s="3"/>
    </row>
    <row r="30">
      <c r="A30" s="24">
        <v>44777.0</v>
      </c>
      <c r="B30" s="25">
        <v>90.309998</v>
      </c>
      <c r="C30" s="25">
        <v>90.339996</v>
      </c>
      <c r="D30" s="25">
        <v>86.43</v>
      </c>
      <c r="E30" s="25">
        <v>87.190002</v>
      </c>
      <c r="F30" s="25">
        <v>85.6614</v>
      </c>
      <c r="G30" s="25">
        <v>3.18215E7</v>
      </c>
      <c r="H30" s="25">
        <f t="shared" si="1"/>
        <v>4</v>
      </c>
      <c r="I30" s="25">
        <f>(E30-$L$7)^2</f>
        <v>1.541138868</v>
      </c>
      <c r="J30" s="25"/>
      <c r="K30" s="27">
        <v>28.0</v>
      </c>
      <c r="L30" s="27">
        <f>AVERAGE(E223:E232)</f>
        <v>92.5599984</v>
      </c>
      <c r="M30" s="27">
        <f t="shared" si="3"/>
        <v>0.8300429606</v>
      </c>
      <c r="N30" s="3"/>
      <c r="O30" s="3"/>
      <c r="P30" s="3"/>
      <c r="Q30" s="3"/>
      <c r="R30" s="3"/>
      <c r="S30" s="3"/>
      <c r="T30" s="3"/>
    </row>
    <row r="31">
      <c r="A31" s="24">
        <v>44596.0</v>
      </c>
      <c r="B31" s="25">
        <v>80.870003</v>
      </c>
      <c r="C31" s="25">
        <v>82.529999</v>
      </c>
      <c r="D31" s="25">
        <v>80.870003</v>
      </c>
      <c r="E31" s="25">
        <v>81.410004</v>
      </c>
      <c r="F31" s="25">
        <v>78.303696</v>
      </c>
      <c r="G31" s="25">
        <v>3.21975E7</v>
      </c>
      <c r="H31" s="25">
        <f t="shared" si="1"/>
        <v>4</v>
      </c>
      <c r="I31" s="25">
        <f t="shared" ref="I31:I33" si="11">(E31-$L$8)^2</f>
        <v>88.80696747</v>
      </c>
      <c r="J31" s="25"/>
      <c r="K31" s="27">
        <v>29.0</v>
      </c>
      <c r="L31" s="27">
        <f>AVERAGE(E233:E240)</f>
        <v>95.15125088</v>
      </c>
      <c r="M31" s="27">
        <f t="shared" si="3"/>
        <v>12.26624125</v>
      </c>
      <c r="N31" s="3"/>
      <c r="O31" s="3"/>
      <c r="P31" s="3"/>
      <c r="Q31" s="3"/>
      <c r="R31" s="3"/>
      <c r="S31" s="3"/>
      <c r="T31" s="3"/>
    </row>
    <row r="32">
      <c r="A32" s="24">
        <v>44624.0</v>
      </c>
      <c r="B32" s="25">
        <v>81.050003</v>
      </c>
      <c r="C32" s="25">
        <v>84.279999</v>
      </c>
      <c r="D32" s="25">
        <v>80.660004</v>
      </c>
      <c r="E32" s="25">
        <v>84.089996</v>
      </c>
      <c r="F32" s="25">
        <v>81.778069</v>
      </c>
      <c r="G32" s="25">
        <v>4.28022E7</v>
      </c>
      <c r="H32" s="25">
        <f t="shared" si="1"/>
        <v>4</v>
      </c>
      <c r="I32" s="25">
        <f t="shared" si="11"/>
        <v>45.47820284</v>
      </c>
      <c r="J32" s="25"/>
      <c r="K32" s="27">
        <v>30.0</v>
      </c>
      <c r="L32" s="27">
        <f>AVERAGE(E241:E246)</f>
        <v>95.77999883</v>
      </c>
      <c r="M32" s="27">
        <f t="shared" si="3"/>
        <v>17.0657176</v>
      </c>
      <c r="N32" s="3"/>
      <c r="O32" s="3"/>
      <c r="P32" s="3"/>
      <c r="Q32" s="3"/>
      <c r="R32" s="3"/>
      <c r="S32" s="3"/>
      <c r="T32" s="3"/>
    </row>
    <row r="33">
      <c r="A33" s="24">
        <v>44869.0</v>
      </c>
      <c r="B33" s="25">
        <v>113.0</v>
      </c>
      <c r="C33" s="25">
        <v>113.5</v>
      </c>
      <c r="D33" s="25">
        <v>110.800003</v>
      </c>
      <c r="E33" s="25">
        <v>112.309998</v>
      </c>
      <c r="F33" s="25">
        <v>111.413094</v>
      </c>
      <c r="G33" s="25">
        <v>1.75415E7</v>
      </c>
      <c r="H33" s="25">
        <f t="shared" si="1"/>
        <v>4</v>
      </c>
      <c r="I33" s="25">
        <f t="shared" si="11"/>
        <v>461.2292765</v>
      </c>
      <c r="J33" s="25"/>
      <c r="K33" s="27">
        <v>31.0</v>
      </c>
      <c r="L33" s="27">
        <f>AVERAGE(E247:E251)</f>
        <v>92.1899978</v>
      </c>
      <c r="M33" s="27">
        <f t="shared" si="3"/>
        <v>0.2927527792</v>
      </c>
      <c r="N33" s="3"/>
      <c r="O33" s="3"/>
      <c r="P33" s="3"/>
      <c r="Q33" s="3"/>
      <c r="R33" s="3"/>
      <c r="S33" s="3"/>
      <c r="T33" s="3"/>
    </row>
    <row r="34">
      <c r="A34" s="24">
        <v>44900.0</v>
      </c>
      <c r="B34" s="25">
        <v>110.699997</v>
      </c>
      <c r="C34" s="25">
        <v>111.360001</v>
      </c>
      <c r="D34" s="25">
        <v>105.940002</v>
      </c>
      <c r="E34" s="25">
        <v>106.849998</v>
      </c>
      <c r="F34" s="25">
        <v>106.849998</v>
      </c>
      <c r="G34" s="25">
        <v>1.92877E7</v>
      </c>
      <c r="H34" s="25">
        <f t="shared" si="1"/>
        <v>5</v>
      </c>
      <c r="I34" s="25">
        <f>(E34-$L$4)^2</f>
        <v>157.6279685</v>
      </c>
      <c r="J34" s="25"/>
      <c r="K34" s="28" t="s">
        <v>18</v>
      </c>
      <c r="L34" s="27">
        <f>AVERAGE(L3:L33)</f>
        <v>91.64893146</v>
      </c>
      <c r="M34" s="29"/>
      <c r="N34" s="3"/>
      <c r="O34" s="3"/>
      <c r="P34" s="3"/>
      <c r="Q34" s="3"/>
      <c r="R34" s="3"/>
      <c r="S34" s="3"/>
      <c r="T34" s="3"/>
    </row>
    <row r="35">
      <c r="A35" s="24">
        <v>44656.0</v>
      </c>
      <c r="B35" s="25">
        <v>83.5</v>
      </c>
      <c r="C35" s="25">
        <v>85.07</v>
      </c>
      <c r="D35" s="25">
        <v>82.559998</v>
      </c>
      <c r="E35" s="25">
        <v>82.730003</v>
      </c>
      <c r="F35" s="25">
        <v>80.455475</v>
      </c>
      <c r="G35" s="25">
        <v>2.17531E7</v>
      </c>
      <c r="H35" s="25">
        <f t="shared" si="1"/>
        <v>5</v>
      </c>
      <c r="I35" s="25">
        <f t="shared" ref="I35:I36" si="12">(E35-$L$5)^2</f>
        <v>29.89351388</v>
      </c>
      <c r="J35" s="25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>
      <c r="A36" s="24">
        <v>44747.0</v>
      </c>
      <c r="B36" s="25">
        <v>86.339996</v>
      </c>
      <c r="C36" s="25">
        <v>86.699997</v>
      </c>
      <c r="D36" s="25">
        <v>83.010002</v>
      </c>
      <c r="E36" s="25">
        <v>84.809998</v>
      </c>
      <c r="F36" s="25">
        <v>83.32312</v>
      </c>
      <c r="G36" s="25">
        <v>3.45911E7</v>
      </c>
      <c r="H36" s="25">
        <f t="shared" si="1"/>
        <v>5</v>
      </c>
      <c r="I36" s="25">
        <f t="shared" si="12"/>
        <v>11.47516387</v>
      </c>
      <c r="J36" s="25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A37" s="24">
        <v>44566.0</v>
      </c>
      <c r="B37" s="25">
        <v>66.5</v>
      </c>
      <c r="C37" s="25">
        <v>67.610001</v>
      </c>
      <c r="D37" s="25">
        <v>66.480003</v>
      </c>
      <c r="E37" s="25">
        <v>66.75</v>
      </c>
      <c r="F37" s="25">
        <v>64.203064</v>
      </c>
      <c r="G37" s="25">
        <v>3.40333E7</v>
      </c>
      <c r="H37" s="25">
        <f t="shared" si="1"/>
        <v>5</v>
      </c>
      <c r="I37" s="25">
        <f t="shared" ref="I37:I38" si="13">(E37-$L$6)^2</f>
        <v>436.0787958</v>
      </c>
      <c r="J37" s="25"/>
      <c r="K37" s="10"/>
      <c r="L37" s="10"/>
      <c r="M37" s="23" t="s">
        <v>19</v>
      </c>
      <c r="N37" s="23" t="s">
        <v>20</v>
      </c>
      <c r="O37" s="3"/>
      <c r="P37" s="3"/>
      <c r="Q37" s="3"/>
      <c r="R37" s="3"/>
      <c r="S37" s="3"/>
      <c r="T37" s="3"/>
    </row>
    <row r="38">
      <c r="A38" s="24">
        <v>44839.0</v>
      </c>
      <c r="B38" s="25">
        <v>95.75</v>
      </c>
      <c r="C38" s="25">
        <v>99.989998</v>
      </c>
      <c r="D38" s="25">
        <v>95.660004</v>
      </c>
      <c r="E38" s="25">
        <v>99.120003</v>
      </c>
      <c r="F38" s="25">
        <v>98.328438</v>
      </c>
      <c r="G38" s="25">
        <v>3.48577E7</v>
      </c>
      <c r="H38" s="25">
        <f t="shared" si="1"/>
        <v>5</v>
      </c>
      <c r="I38" s="25">
        <f t="shared" si="13"/>
        <v>131.9627309</v>
      </c>
      <c r="J38" s="25"/>
      <c r="K38" s="23" t="s">
        <v>21</v>
      </c>
      <c r="L38" s="8">
        <f>SUM(M3:M33)</f>
        <v>130.4974697</v>
      </c>
      <c r="M38" s="8">
        <f>M45-1</f>
        <v>30</v>
      </c>
      <c r="N38" s="8">
        <f t="shared" ref="N38:N39" si="14">L38/M38</f>
        <v>4.349915657</v>
      </c>
      <c r="O38" s="3"/>
      <c r="P38" s="3"/>
      <c r="Q38" s="3"/>
      <c r="R38" s="3"/>
      <c r="S38" s="3"/>
      <c r="T38" s="3"/>
    </row>
    <row r="39">
      <c r="A39" s="24">
        <v>44686.0</v>
      </c>
      <c r="B39" s="25">
        <v>92.040001</v>
      </c>
      <c r="C39" s="25">
        <v>92.050003</v>
      </c>
      <c r="D39" s="25">
        <v>88.389999</v>
      </c>
      <c r="E39" s="25">
        <v>90.309998</v>
      </c>
      <c r="F39" s="25">
        <v>87.827057</v>
      </c>
      <c r="G39" s="25">
        <v>4.10134E7</v>
      </c>
      <c r="H39" s="25">
        <f t="shared" si="1"/>
        <v>5</v>
      </c>
      <c r="I39" s="25">
        <f>(E39-$L$7)^2</f>
        <v>3.529024708</v>
      </c>
      <c r="J39" s="25"/>
      <c r="K39" s="23" t="s">
        <v>22</v>
      </c>
      <c r="L39" s="8">
        <f>SUM(I1:I251)</f>
        <v>36275.08895</v>
      </c>
      <c r="M39" s="8">
        <f>M44-M45</f>
        <v>220</v>
      </c>
      <c r="N39" s="8">
        <f t="shared" si="14"/>
        <v>164.8867679</v>
      </c>
      <c r="O39" s="3"/>
      <c r="P39" s="3"/>
      <c r="Q39" s="3"/>
      <c r="R39" s="3"/>
      <c r="S39" s="3"/>
      <c r="T39" s="3"/>
    </row>
    <row r="40">
      <c r="A40" s="24">
        <v>44778.0</v>
      </c>
      <c r="B40" s="25">
        <v>86.360001</v>
      </c>
      <c r="C40" s="25">
        <v>89.690002</v>
      </c>
      <c r="D40" s="25">
        <v>86.279999</v>
      </c>
      <c r="E40" s="25">
        <v>88.449997</v>
      </c>
      <c r="F40" s="25">
        <v>86.8993</v>
      </c>
      <c r="G40" s="25">
        <v>1.7408E7</v>
      </c>
      <c r="H40" s="25">
        <f t="shared" si="1"/>
        <v>5</v>
      </c>
      <c r="I40" s="25">
        <f>(E40-$L$8)^2</f>
        <v>5.682273002</v>
      </c>
      <c r="J40" s="25"/>
      <c r="K40" s="23" t="s">
        <v>23</v>
      </c>
      <c r="L40" s="8">
        <f>SUM(L38:L39)</f>
        <v>36405.58642</v>
      </c>
      <c r="M40" s="8">
        <f>M44-1</f>
        <v>250</v>
      </c>
      <c r="N40" s="10"/>
      <c r="O40" s="3"/>
      <c r="P40" s="3"/>
      <c r="Q40" s="3"/>
      <c r="R40" s="3"/>
      <c r="S40" s="3"/>
      <c r="T40" s="3"/>
    </row>
    <row r="41">
      <c r="A41" s="24">
        <v>44718.0</v>
      </c>
      <c r="B41" s="25">
        <v>99.18</v>
      </c>
      <c r="C41" s="25">
        <v>99.779999</v>
      </c>
      <c r="D41" s="25">
        <v>98.669998</v>
      </c>
      <c r="E41" s="25">
        <v>98.839996</v>
      </c>
      <c r="F41" s="25">
        <v>97.107147</v>
      </c>
      <c r="G41" s="25">
        <v>2.06821E7</v>
      </c>
      <c r="H41" s="25">
        <f t="shared" si="1"/>
        <v>6</v>
      </c>
      <c r="I41" s="25">
        <f>(E41-$L$4)^2</f>
        <v>20.65698637</v>
      </c>
      <c r="J41" s="25"/>
      <c r="K41" s="10"/>
      <c r="L41" s="10"/>
      <c r="M41" s="10"/>
      <c r="N41" s="10"/>
      <c r="O41" s="3"/>
      <c r="P41" s="3"/>
      <c r="Q41" s="3"/>
      <c r="R41" s="3"/>
      <c r="S41" s="3"/>
      <c r="T41" s="3"/>
    </row>
    <row r="42">
      <c r="A42" s="24">
        <v>44810.0</v>
      </c>
      <c r="B42" s="25">
        <v>96.160004</v>
      </c>
      <c r="C42" s="25">
        <v>96.589996</v>
      </c>
      <c r="D42" s="25">
        <v>94.510002</v>
      </c>
      <c r="E42" s="25">
        <v>94.949997</v>
      </c>
      <c r="F42" s="25">
        <v>94.191734</v>
      </c>
      <c r="G42" s="25">
        <v>1.92015E7</v>
      </c>
      <c r="H42" s="25">
        <f t="shared" si="1"/>
        <v>6</v>
      </c>
      <c r="I42" s="25">
        <f t="shared" ref="I42:I43" si="15">(E42-$L$5)^2</f>
        <v>45.59622755</v>
      </c>
      <c r="J42" s="25"/>
      <c r="K42" s="10"/>
      <c r="L42" s="10"/>
      <c r="M42" s="23" t="s">
        <v>24</v>
      </c>
      <c r="N42" s="8">
        <f>N38/N39</f>
        <v>0.02638122944</v>
      </c>
      <c r="O42" s="3"/>
      <c r="P42" s="3"/>
      <c r="Q42" s="3"/>
      <c r="R42" s="3"/>
      <c r="S42" s="3"/>
      <c r="T42" s="3"/>
    </row>
    <row r="43">
      <c r="A43" s="24">
        <v>44901.0</v>
      </c>
      <c r="B43" s="25">
        <v>105.900002</v>
      </c>
      <c r="C43" s="25">
        <v>107.040001</v>
      </c>
      <c r="D43" s="25">
        <v>103.150002</v>
      </c>
      <c r="E43" s="25">
        <v>103.879997</v>
      </c>
      <c r="F43" s="25">
        <v>103.879997</v>
      </c>
      <c r="G43" s="25">
        <v>2.1197E7</v>
      </c>
      <c r="H43" s="25">
        <f t="shared" si="1"/>
        <v>6</v>
      </c>
      <c r="I43" s="25">
        <f t="shared" si="15"/>
        <v>245.9407396</v>
      </c>
      <c r="J43" s="25"/>
      <c r="K43" s="10"/>
      <c r="L43" s="10"/>
      <c r="M43" s="23" t="s">
        <v>25</v>
      </c>
      <c r="N43" s="8">
        <f>_xlfn.F.INV.RT(0.05, 4, 246)</f>
        <v>2.408338503</v>
      </c>
      <c r="O43" s="3"/>
      <c r="P43" s="3"/>
      <c r="Q43" s="3"/>
      <c r="R43" s="3"/>
      <c r="S43" s="3"/>
      <c r="T43" s="3"/>
    </row>
    <row r="44">
      <c r="A44" s="24">
        <v>44657.0</v>
      </c>
      <c r="B44" s="25">
        <v>83.419998</v>
      </c>
      <c r="C44" s="25">
        <v>84.699997</v>
      </c>
      <c r="D44" s="25">
        <v>82.940002</v>
      </c>
      <c r="E44" s="25">
        <v>83.650002</v>
      </c>
      <c r="F44" s="25">
        <v>81.350174</v>
      </c>
      <c r="G44" s="25">
        <v>2.47682E7</v>
      </c>
      <c r="H44" s="25">
        <f t="shared" si="1"/>
        <v>6</v>
      </c>
      <c r="I44" s="25">
        <f t="shared" ref="I44:I45" si="16">(E44-$L$6)^2</f>
        <v>15.86028833</v>
      </c>
      <c r="J44" s="25"/>
      <c r="K44" s="10"/>
      <c r="L44" s="23" t="s">
        <v>26</v>
      </c>
      <c r="M44" s="8">
        <v>251.0</v>
      </c>
      <c r="N44" s="10"/>
      <c r="O44" s="3"/>
      <c r="P44" s="3"/>
      <c r="Q44" s="3"/>
      <c r="R44" s="3"/>
      <c r="S44" s="3"/>
      <c r="T44" s="3"/>
    </row>
    <row r="45">
      <c r="A45" s="24">
        <v>44748.0</v>
      </c>
      <c r="B45" s="25">
        <v>83.760002</v>
      </c>
      <c r="C45" s="25">
        <v>85.230003</v>
      </c>
      <c r="D45" s="25">
        <v>81.010002</v>
      </c>
      <c r="E45" s="25">
        <v>83.279999</v>
      </c>
      <c r="F45" s="25">
        <v>81.819946</v>
      </c>
      <c r="G45" s="25">
        <v>3.33757E7</v>
      </c>
      <c r="H45" s="25">
        <f t="shared" si="1"/>
        <v>6</v>
      </c>
      <c r="I45" s="25">
        <f t="shared" si="16"/>
        <v>18.94426278</v>
      </c>
      <c r="J45" s="25"/>
      <c r="K45" s="10"/>
      <c r="L45" s="23" t="s">
        <v>27</v>
      </c>
      <c r="M45" s="30">
        <v>31.0</v>
      </c>
      <c r="N45" s="10"/>
      <c r="O45" s="3"/>
      <c r="P45" s="3"/>
      <c r="Q45" s="3"/>
      <c r="R45" s="3"/>
      <c r="S45" s="3"/>
      <c r="T45" s="3"/>
    </row>
    <row r="46">
      <c r="A46" s="24">
        <v>44567.0</v>
      </c>
      <c r="B46" s="25">
        <v>68.0</v>
      </c>
      <c r="C46" s="25">
        <v>68.480003</v>
      </c>
      <c r="D46" s="25">
        <v>67.07</v>
      </c>
      <c r="E46" s="25">
        <v>68.32</v>
      </c>
      <c r="F46" s="25">
        <v>65.71315</v>
      </c>
      <c r="G46" s="25">
        <v>3.06685E7</v>
      </c>
      <c r="H46" s="25">
        <f t="shared" si="1"/>
        <v>6</v>
      </c>
      <c r="I46" s="25">
        <f t="shared" ref="I46:I47" si="17">(E46-$L$7)^2</f>
        <v>404.4695419</v>
      </c>
      <c r="J46" s="25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>
      <c r="A47" s="24">
        <v>44840.0</v>
      </c>
      <c r="B47" s="25">
        <v>98.470001</v>
      </c>
      <c r="C47" s="25">
        <v>102.18</v>
      </c>
      <c r="D47" s="25">
        <v>98.330002</v>
      </c>
      <c r="E47" s="25">
        <v>102.059998</v>
      </c>
      <c r="F47" s="25">
        <v>101.244949</v>
      </c>
      <c r="G47" s="25">
        <v>2.91247E7</v>
      </c>
      <c r="H47" s="25">
        <f t="shared" si="1"/>
        <v>6</v>
      </c>
      <c r="I47" s="25">
        <f t="shared" si="17"/>
        <v>185.7379164</v>
      </c>
      <c r="J47" s="25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24">
        <v>44687.0</v>
      </c>
      <c r="B48" s="25">
        <v>90.980003</v>
      </c>
      <c r="C48" s="25">
        <v>91.82</v>
      </c>
      <c r="D48" s="25">
        <v>89.349998</v>
      </c>
      <c r="E48" s="25">
        <v>91.690002</v>
      </c>
      <c r="F48" s="25">
        <v>89.169128</v>
      </c>
      <c r="G48" s="25">
        <v>2.96193E7</v>
      </c>
      <c r="H48" s="25">
        <f t="shared" si="1"/>
        <v>6</v>
      </c>
      <c r="I48" s="25">
        <f>(E48-$L$8)^2</f>
        <v>0.7331694141</v>
      </c>
      <c r="J48" s="25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>
      <c r="A49" s="24">
        <v>44599.0</v>
      </c>
      <c r="B49" s="25">
        <v>81.139999</v>
      </c>
      <c r="C49" s="25">
        <v>83.080002</v>
      </c>
      <c r="D49" s="25">
        <v>80.639999</v>
      </c>
      <c r="E49" s="25">
        <v>82.389999</v>
      </c>
      <c r="F49" s="25">
        <v>79.246292</v>
      </c>
      <c r="G49" s="25">
        <v>3.49492E7</v>
      </c>
      <c r="H49" s="25">
        <f t="shared" si="1"/>
        <v>7</v>
      </c>
      <c r="I49" s="25">
        <f t="shared" ref="I49:I51" si="18">(E49-$L$4)^2</f>
        <v>141.7290548</v>
      </c>
      <c r="J49" s="25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24">
        <v>44627.0</v>
      </c>
      <c r="B50" s="25">
        <v>84.919998</v>
      </c>
      <c r="C50" s="25">
        <v>87.230003</v>
      </c>
      <c r="D50" s="25">
        <v>83.900002</v>
      </c>
      <c r="E50" s="25">
        <v>87.120003</v>
      </c>
      <c r="F50" s="25">
        <v>84.72477</v>
      </c>
      <c r="G50" s="25">
        <v>5.52079E7</v>
      </c>
      <c r="H50" s="25">
        <f t="shared" si="1"/>
        <v>7</v>
      </c>
      <c r="I50" s="25">
        <f t="shared" si="18"/>
        <v>51.48058554</v>
      </c>
      <c r="J50" s="25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24">
        <v>44872.0</v>
      </c>
      <c r="B51" s="25">
        <v>112.410004</v>
      </c>
      <c r="C51" s="25">
        <v>113.989998</v>
      </c>
      <c r="D51" s="25">
        <v>112.129997</v>
      </c>
      <c r="E51" s="25">
        <v>113.639999</v>
      </c>
      <c r="F51" s="25">
        <v>112.732475</v>
      </c>
      <c r="G51" s="25">
        <v>1.6008E7</v>
      </c>
      <c r="H51" s="25">
        <f t="shared" si="1"/>
        <v>7</v>
      </c>
      <c r="I51" s="25">
        <f t="shared" si="18"/>
        <v>374.2289766</v>
      </c>
      <c r="J51" s="25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A52" s="24">
        <v>44719.0</v>
      </c>
      <c r="B52" s="25">
        <v>99.699997</v>
      </c>
      <c r="C52" s="25">
        <v>103.43</v>
      </c>
      <c r="D52" s="25">
        <v>99.489998</v>
      </c>
      <c r="E52" s="25">
        <v>103.370003</v>
      </c>
      <c r="F52" s="25">
        <v>101.557732</v>
      </c>
      <c r="G52" s="25">
        <v>3.78102E7</v>
      </c>
      <c r="H52" s="25">
        <f t="shared" si="1"/>
        <v>7</v>
      </c>
      <c r="I52" s="25">
        <f>(E52-$L$5)^2</f>
        <v>230.2048738</v>
      </c>
      <c r="J52" s="25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A53" s="24">
        <v>44811.0</v>
      </c>
      <c r="B53" s="25">
        <v>93.190002</v>
      </c>
      <c r="C53" s="25">
        <v>94.589996</v>
      </c>
      <c r="D53" s="25">
        <v>92.300003</v>
      </c>
      <c r="E53" s="25">
        <v>94.139999</v>
      </c>
      <c r="F53" s="25">
        <v>93.388199</v>
      </c>
      <c r="G53" s="25">
        <v>1.62747E7</v>
      </c>
      <c r="H53" s="25">
        <f t="shared" si="1"/>
        <v>7</v>
      </c>
      <c r="I53" s="25">
        <f t="shared" ref="I53:I54" si="19">(E53-$L$6)^2</f>
        <v>42.34754649</v>
      </c>
      <c r="J53" s="25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24">
        <v>44902.0</v>
      </c>
      <c r="B54" s="25">
        <v>103.779999</v>
      </c>
      <c r="C54" s="25">
        <v>104.849998</v>
      </c>
      <c r="D54" s="25">
        <v>102.370003</v>
      </c>
      <c r="E54" s="25">
        <v>103.650002</v>
      </c>
      <c r="F54" s="25">
        <v>103.650002</v>
      </c>
      <c r="G54" s="25">
        <v>2.00617E7</v>
      </c>
      <c r="H54" s="25">
        <f t="shared" si="1"/>
        <v>7</v>
      </c>
      <c r="I54" s="25">
        <f t="shared" si="19"/>
        <v>256.5603783</v>
      </c>
      <c r="J54" s="25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>
      <c r="A55" s="24">
        <v>44658.0</v>
      </c>
      <c r="B55" s="25">
        <v>83.830002</v>
      </c>
      <c r="C55" s="25">
        <v>85.440002</v>
      </c>
      <c r="D55" s="25">
        <v>82.709999</v>
      </c>
      <c r="E55" s="25">
        <v>85.050003</v>
      </c>
      <c r="F55" s="25">
        <v>82.711678</v>
      </c>
      <c r="G55" s="25">
        <v>2.6122E7</v>
      </c>
      <c r="H55" s="25">
        <f t="shared" si="1"/>
        <v>7</v>
      </c>
      <c r="I55" s="25">
        <f t="shared" ref="I55:I56" si="20">(E55-$L$7)^2</f>
        <v>11.434036</v>
      </c>
      <c r="J55" s="25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>
      <c r="A56" s="24">
        <v>44749.0</v>
      </c>
      <c r="B56" s="25">
        <v>85.379997</v>
      </c>
      <c r="C56" s="25">
        <v>86.760002</v>
      </c>
      <c r="D56" s="25">
        <v>85.300003</v>
      </c>
      <c r="E56" s="25">
        <v>85.940002</v>
      </c>
      <c r="F56" s="25">
        <v>84.433319</v>
      </c>
      <c r="G56" s="25">
        <v>2.38174E7</v>
      </c>
      <c r="H56" s="25">
        <f t="shared" si="1"/>
        <v>7</v>
      </c>
      <c r="I56" s="25">
        <f t="shared" si="20"/>
        <v>6.207204225</v>
      </c>
      <c r="J56" s="25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>
      <c r="A57" s="24">
        <v>44568.0</v>
      </c>
      <c r="B57" s="25">
        <v>68.519997</v>
      </c>
      <c r="C57" s="25">
        <v>69.18</v>
      </c>
      <c r="D57" s="25">
        <v>67.980003</v>
      </c>
      <c r="E57" s="25">
        <v>68.879997</v>
      </c>
      <c r="F57" s="25">
        <v>66.251778</v>
      </c>
      <c r="G57" s="25">
        <v>2.39854E7</v>
      </c>
      <c r="H57" s="25">
        <f t="shared" si="1"/>
        <v>7</v>
      </c>
      <c r="I57" s="25">
        <f t="shared" ref="I57:I58" si="21">(E57-$L$8)^2</f>
        <v>481.9672214</v>
      </c>
      <c r="J57" s="25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>
      <c r="A58" s="24">
        <v>44841.0</v>
      </c>
      <c r="B58" s="25">
        <v>102.190002</v>
      </c>
      <c r="C58" s="25">
        <v>103.32</v>
      </c>
      <c r="D58" s="25">
        <v>100.18</v>
      </c>
      <c r="E58" s="25">
        <v>101.029999</v>
      </c>
      <c r="F58" s="25">
        <v>100.223175</v>
      </c>
      <c r="G58" s="25">
        <v>2.45076E7</v>
      </c>
      <c r="H58" s="25">
        <f t="shared" si="1"/>
        <v>7</v>
      </c>
      <c r="I58" s="25">
        <f t="shared" si="21"/>
        <v>103.9635166</v>
      </c>
      <c r="J58" s="25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>
      <c r="A59" s="24">
        <v>44781.0</v>
      </c>
      <c r="B59" s="25">
        <v>88.610001</v>
      </c>
      <c r="C59" s="25">
        <v>89.599998</v>
      </c>
      <c r="D59" s="25">
        <v>88.220001</v>
      </c>
      <c r="E59" s="25">
        <v>88.949997</v>
      </c>
      <c r="F59" s="25">
        <v>87.390541</v>
      </c>
      <c r="G59" s="25">
        <v>1.44585E7</v>
      </c>
      <c r="H59" s="25">
        <f t="shared" si="1"/>
        <v>8</v>
      </c>
      <c r="I59" s="25">
        <f>(E59-$L$4)^2</f>
        <v>28.56905974</v>
      </c>
      <c r="J59" s="25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>
      <c r="A60" s="24">
        <v>44600.0</v>
      </c>
      <c r="B60" s="25">
        <v>82.269997</v>
      </c>
      <c r="C60" s="25">
        <v>82.5</v>
      </c>
      <c r="D60" s="25">
        <v>79.919998</v>
      </c>
      <c r="E60" s="25">
        <v>80.260002</v>
      </c>
      <c r="F60" s="25">
        <v>77.197563</v>
      </c>
      <c r="G60" s="25">
        <v>3.43563E7</v>
      </c>
      <c r="H60" s="25">
        <f t="shared" si="1"/>
        <v>8</v>
      </c>
      <c r="I60" s="25">
        <f t="shared" ref="I60:I62" si="22">(E60-$L$5)^2</f>
        <v>63.00386061</v>
      </c>
      <c r="J60" s="25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>
      <c r="A61" s="24">
        <v>44628.0</v>
      </c>
      <c r="B61" s="25">
        <v>89.050003</v>
      </c>
      <c r="C61" s="25">
        <v>91.510002</v>
      </c>
      <c r="D61" s="25">
        <v>85.43</v>
      </c>
      <c r="E61" s="25">
        <v>87.779999</v>
      </c>
      <c r="F61" s="25">
        <v>85.366623</v>
      </c>
      <c r="G61" s="25">
        <v>7.20823E7</v>
      </c>
      <c r="H61" s="25">
        <f t="shared" si="1"/>
        <v>8</v>
      </c>
      <c r="I61" s="25">
        <f t="shared" si="22"/>
        <v>0.1743063544</v>
      </c>
      <c r="J61" s="25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A62" s="24">
        <v>44873.0</v>
      </c>
      <c r="B62" s="25">
        <v>113.480003</v>
      </c>
      <c r="C62" s="25">
        <v>114.660004</v>
      </c>
      <c r="D62" s="25">
        <v>112.599998</v>
      </c>
      <c r="E62" s="25">
        <v>114.0</v>
      </c>
      <c r="F62" s="25">
        <v>113.0896</v>
      </c>
      <c r="G62" s="25">
        <v>1.4661E7</v>
      </c>
      <c r="H62" s="25">
        <f t="shared" si="1"/>
        <v>8</v>
      </c>
      <c r="I62" s="25">
        <f t="shared" si="22"/>
        <v>665.7690514</v>
      </c>
      <c r="J62" s="25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>
      <c r="A63" s="24">
        <v>44720.0</v>
      </c>
      <c r="B63" s="25">
        <v>103.489998</v>
      </c>
      <c r="C63" s="25">
        <v>105.57</v>
      </c>
      <c r="D63" s="25">
        <v>102.980003</v>
      </c>
      <c r="E63" s="25">
        <v>104.589996</v>
      </c>
      <c r="F63" s="25">
        <v>102.75634</v>
      </c>
      <c r="G63" s="25">
        <v>3.16132E7</v>
      </c>
      <c r="H63" s="25">
        <f t="shared" si="1"/>
        <v>8</v>
      </c>
      <c r="I63" s="25">
        <f>(E63-$L$6)^2</f>
        <v>287.5566791</v>
      </c>
      <c r="J63" s="25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>
      <c r="A64" s="24">
        <v>44812.0</v>
      </c>
      <c r="B64" s="25">
        <v>94.660004</v>
      </c>
      <c r="C64" s="25">
        <v>95.419998</v>
      </c>
      <c r="D64" s="25">
        <v>93.720001</v>
      </c>
      <c r="E64" s="25">
        <v>94.910004</v>
      </c>
      <c r="F64" s="25">
        <v>94.152054</v>
      </c>
      <c r="G64" s="25">
        <v>1.87592E7</v>
      </c>
      <c r="H64" s="25">
        <f t="shared" si="1"/>
        <v>8</v>
      </c>
      <c r="I64" s="25">
        <f t="shared" ref="I64:I65" si="23">(E64-$L$7)^2</f>
        <v>41.97194514</v>
      </c>
      <c r="J64" s="25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>
      <c r="A65" s="24">
        <v>44903.0</v>
      </c>
      <c r="B65" s="25">
        <v>106.279999</v>
      </c>
      <c r="C65" s="25">
        <v>106.800003</v>
      </c>
      <c r="D65" s="25">
        <v>103.709999</v>
      </c>
      <c r="E65" s="25">
        <v>104.419998</v>
      </c>
      <c r="F65" s="25">
        <v>104.419998</v>
      </c>
      <c r="G65" s="25">
        <v>2.11288E7</v>
      </c>
      <c r="H65" s="25">
        <f t="shared" si="1"/>
        <v>8</v>
      </c>
      <c r="I65" s="25">
        <f t="shared" si="23"/>
        <v>255.6343661</v>
      </c>
      <c r="J65" s="25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24">
        <v>44659.0</v>
      </c>
      <c r="B66" s="25">
        <v>85.169998</v>
      </c>
      <c r="C66" s="25">
        <v>87.209999</v>
      </c>
      <c r="D66" s="25">
        <v>85.169998</v>
      </c>
      <c r="E66" s="25">
        <v>86.839996</v>
      </c>
      <c r="F66" s="25">
        <v>84.452461</v>
      </c>
      <c r="G66" s="25">
        <v>2.48665E7</v>
      </c>
      <c r="H66" s="25">
        <f t="shared" si="1"/>
        <v>8</v>
      </c>
      <c r="I66" s="25">
        <f t="shared" ref="I66:I67" si="24">(E66-$L$8)^2</f>
        <v>15.95006203</v>
      </c>
      <c r="J66" s="25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>
      <c r="A67" s="24">
        <v>44750.0</v>
      </c>
      <c r="B67" s="25">
        <v>86.949997</v>
      </c>
      <c r="C67" s="25">
        <v>87.300003</v>
      </c>
      <c r="D67" s="25">
        <v>84.93</v>
      </c>
      <c r="E67" s="25">
        <v>86.080002</v>
      </c>
      <c r="F67" s="25">
        <v>84.570862</v>
      </c>
      <c r="G67" s="25">
        <v>1.76738E7</v>
      </c>
      <c r="H67" s="25">
        <f t="shared" si="1"/>
        <v>8</v>
      </c>
      <c r="I67" s="25">
        <f t="shared" si="24"/>
        <v>22.59810935</v>
      </c>
      <c r="J67" s="25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>
      <c r="A68" s="24">
        <v>44690.0</v>
      </c>
      <c r="B68" s="25">
        <v>89.440002</v>
      </c>
      <c r="C68" s="25">
        <v>89.559998</v>
      </c>
      <c r="D68" s="25">
        <v>84.019997</v>
      </c>
      <c r="E68" s="25">
        <v>84.459999</v>
      </c>
      <c r="F68" s="25">
        <v>82.137901</v>
      </c>
      <c r="G68" s="25">
        <v>4.58516E7</v>
      </c>
      <c r="H68" s="25">
        <f t="shared" si="1"/>
        <v>9</v>
      </c>
      <c r="I68" s="25">
        <f>(E68-$L$4)^2</f>
        <v>96.72724959</v>
      </c>
      <c r="J68" s="25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>
      <c r="A69" s="24">
        <v>44782.0</v>
      </c>
      <c r="B69" s="25">
        <v>90.050003</v>
      </c>
      <c r="C69" s="25">
        <v>91.610001</v>
      </c>
      <c r="D69" s="25">
        <v>89.949997</v>
      </c>
      <c r="E69" s="25">
        <v>90.589996</v>
      </c>
      <c r="F69" s="25">
        <v>89.001785</v>
      </c>
      <c r="G69" s="25">
        <v>1.90834E7</v>
      </c>
      <c r="H69" s="25">
        <f t="shared" si="1"/>
        <v>9</v>
      </c>
      <c r="I69" s="25">
        <f>(E69-$L$5)^2</f>
        <v>5.724041297</v>
      </c>
      <c r="J69" s="25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>
      <c r="A70" s="24">
        <v>44601.0</v>
      </c>
      <c r="B70" s="25">
        <v>79.580002</v>
      </c>
      <c r="C70" s="25">
        <v>80.029999</v>
      </c>
      <c r="D70" s="25">
        <v>78.709999</v>
      </c>
      <c r="E70" s="25">
        <v>79.0</v>
      </c>
      <c r="F70" s="25">
        <v>76.828011</v>
      </c>
      <c r="G70" s="25">
        <v>4.01061E7</v>
      </c>
      <c r="H70" s="25">
        <f t="shared" si="1"/>
        <v>9</v>
      </c>
      <c r="I70" s="25">
        <f t="shared" ref="I70:I72" si="25">(E70-$L$6)^2</f>
        <v>74.52005193</v>
      </c>
      <c r="J70" s="25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>
      <c r="A71" s="24">
        <v>44629.0</v>
      </c>
      <c r="B71" s="25">
        <v>84.029999</v>
      </c>
      <c r="C71" s="25">
        <v>86.57</v>
      </c>
      <c r="D71" s="25">
        <v>81.599998</v>
      </c>
      <c r="E71" s="25">
        <v>82.790001</v>
      </c>
      <c r="F71" s="25">
        <v>80.513809</v>
      </c>
      <c r="G71" s="25">
        <v>6.54667E7</v>
      </c>
      <c r="H71" s="25">
        <f t="shared" si="1"/>
        <v>9</v>
      </c>
      <c r="I71" s="25">
        <f t="shared" si="25"/>
        <v>23.44979414</v>
      </c>
      <c r="J71" s="25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>
      <c r="A72" s="24">
        <v>44874.0</v>
      </c>
      <c r="B72" s="25">
        <v>113.099998</v>
      </c>
      <c r="C72" s="25">
        <v>113.279999</v>
      </c>
      <c r="D72" s="25">
        <v>108.57</v>
      </c>
      <c r="E72" s="25">
        <v>108.900002</v>
      </c>
      <c r="F72" s="25">
        <v>108.030334</v>
      </c>
      <c r="G72" s="25">
        <v>1.95228E7</v>
      </c>
      <c r="H72" s="25">
        <f t="shared" si="1"/>
        <v>9</v>
      </c>
      <c r="I72" s="25">
        <f t="shared" si="25"/>
        <v>452.306652</v>
      </c>
      <c r="J72" s="25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>
      <c r="A73" s="24">
        <v>44721.0</v>
      </c>
      <c r="B73" s="25">
        <v>103.419998</v>
      </c>
      <c r="C73" s="25">
        <v>104.57</v>
      </c>
      <c r="D73" s="25">
        <v>102.160004</v>
      </c>
      <c r="E73" s="25">
        <v>102.330002</v>
      </c>
      <c r="F73" s="25">
        <v>100.535973</v>
      </c>
      <c r="G73" s="25">
        <v>2.6607E7</v>
      </c>
      <c r="H73" s="25">
        <f t="shared" si="1"/>
        <v>9</v>
      </c>
      <c r="I73" s="25">
        <f>(E73-$L$7)^2</f>
        <v>193.1703553</v>
      </c>
      <c r="J73" s="25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>
      <c r="A74" s="24">
        <v>44813.0</v>
      </c>
      <c r="B74" s="25">
        <v>96.519997</v>
      </c>
      <c r="C74" s="25">
        <v>97.0</v>
      </c>
      <c r="D74" s="25">
        <v>95.32</v>
      </c>
      <c r="E74" s="25">
        <v>96.5</v>
      </c>
      <c r="F74" s="25">
        <v>95.729355</v>
      </c>
      <c r="G74" s="25">
        <v>1.7158E7</v>
      </c>
      <c r="H74" s="25">
        <f t="shared" si="1"/>
        <v>9</v>
      </c>
      <c r="I74" s="25">
        <f t="shared" ref="I74:I75" si="26">(E74-$L$8)^2</f>
        <v>32.10640181</v>
      </c>
      <c r="J74" s="25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>
      <c r="A75" s="24">
        <v>44904.0</v>
      </c>
      <c r="B75" s="25">
        <v>104.589996</v>
      </c>
      <c r="C75" s="25">
        <v>105.949997</v>
      </c>
      <c r="D75" s="25">
        <v>103.300003</v>
      </c>
      <c r="E75" s="25">
        <v>103.540001</v>
      </c>
      <c r="F75" s="25">
        <v>103.540001</v>
      </c>
      <c r="G75" s="25">
        <v>2.12982E7</v>
      </c>
      <c r="H75" s="25">
        <f t="shared" si="1"/>
        <v>9</v>
      </c>
      <c r="I75" s="25">
        <f t="shared" si="26"/>
        <v>161.4488431</v>
      </c>
      <c r="J75" s="25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>
      <c r="A76" s="24">
        <v>44571.0</v>
      </c>
      <c r="B76" s="25">
        <v>68.970001</v>
      </c>
      <c r="C76" s="25">
        <v>69.169998</v>
      </c>
      <c r="D76" s="25">
        <v>67.949997</v>
      </c>
      <c r="E76" s="25">
        <v>68.470001</v>
      </c>
      <c r="F76" s="25">
        <v>65.85743</v>
      </c>
      <c r="G76" s="25">
        <v>2.27603E7</v>
      </c>
      <c r="H76" s="25">
        <f t="shared" si="1"/>
        <v>10</v>
      </c>
      <c r="I76" s="25">
        <f t="shared" ref="I76:I77" si="27">(E76-$L$4)^2</f>
        <v>666.9305863</v>
      </c>
      <c r="J76" s="25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>
      <c r="A77" s="24">
        <v>44844.0</v>
      </c>
      <c r="B77" s="25">
        <v>101.489998</v>
      </c>
      <c r="C77" s="25">
        <v>102.029999</v>
      </c>
      <c r="D77" s="25">
        <v>98.720001</v>
      </c>
      <c r="E77" s="25">
        <v>98.839996</v>
      </c>
      <c r="F77" s="25">
        <v>98.050667</v>
      </c>
      <c r="G77" s="25">
        <v>1.67861E7</v>
      </c>
      <c r="H77" s="25">
        <f t="shared" si="1"/>
        <v>10</v>
      </c>
      <c r="I77" s="25">
        <f t="shared" si="27"/>
        <v>20.65698637</v>
      </c>
      <c r="J77" s="25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>
      <c r="A78" s="24">
        <v>44691.0</v>
      </c>
      <c r="B78" s="25">
        <v>85.639999</v>
      </c>
      <c r="C78" s="25">
        <v>86.889999</v>
      </c>
      <c r="D78" s="25">
        <v>83.519997</v>
      </c>
      <c r="E78" s="25">
        <v>85.019997</v>
      </c>
      <c r="F78" s="25">
        <v>82.682495</v>
      </c>
      <c r="G78" s="25">
        <v>3.44832E7</v>
      </c>
      <c r="H78" s="25">
        <f t="shared" si="1"/>
        <v>10</v>
      </c>
      <c r="I78" s="25">
        <f>(E78-$L$5)^2</f>
        <v>10.09651975</v>
      </c>
      <c r="J78" s="25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>
      <c r="A79" s="24">
        <v>44783.0</v>
      </c>
      <c r="B79" s="25">
        <v>90.68</v>
      </c>
      <c r="C79" s="25">
        <v>91.790001</v>
      </c>
      <c r="D79" s="25">
        <v>89.190002</v>
      </c>
      <c r="E79" s="25">
        <v>91.449997</v>
      </c>
      <c r="F79" s="25">
        <v>89.84671</v>
      </c>
      <c r="G79" s="25">
        <v>1.8302E7</v>
      </c>
      <c r="H79" s="25">
        <f t="shared" si="1"/>
        <v>10</v>
      </c>
      <c r="I79" s="25">
        <f>(E79-$L$6)^2</f>
        <v>14.57328525</v>
      </c>
      <c r="J79" s="25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>
      <c r="A80" s="24">
        <v>44602.0</v>
      </c>
      <c r="B80" s="25">
        <v>78.720001</v>
      </c>
      <c r="C80" s="25">
        <v>79.68</v>
      </c>
      <c r="D80" s="25">
        <v>77.790001</v>
      </c>
      <c r="E80" s="25">
        <v>78.239998</v>
      </c>
      <c r="F80" s="25">
        <v>76.088913</v>
      </c>
      <c r="G80" s="25">
        <v>2.85277E7</v>
      </c>
      <c r="H80" s="25">
        <f t="shared" si="1"/>
        <v>10</v>
      </c>
      <c r="I80" s="25">
        <f t="shared" ref="I80:I82" si="28">(E80-$L$7)^2</f>
        <v>103.8652484</v>
      </c>
      <c r="J80" s="25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>
      <c r="A81" s="24">
        <v>44630.0</v>
      </c>
      <c r="B81" s="25">
        <v>84.010002</v>
      </c>
      <c r="C81" s="25">
        <v>85.68</v>
      </c>
      <c r="D81" s="25">
        <v>82.900002</v>
      </c>
      <c r="E81" s="25">
        <v>85.360001</v>
      </c>
      <c r="F81" s="25">
        <v>83.013153</v>
      </c>
      <c r="G81" s="25">
        <v>4.46442E7</v>
      </c>
      <c r="H81" s="25">
        <f t="shared" si="1"/>
        <v>10</v>
      </c>
      <c r="I81" s="25">
        <f t="shared" si="28"/>
        <v>9.433664694</v>
      </c>
      <c r="J81" s="25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>
      <c r="A82" s="24">
        <v>44875.0</v>
      </c>
      <c r="B82" s="25">
        <v>110.190002</v>
      </c>
      <c r="C82" s="25">
        <v>110.699997</v>
      </c>
      <c r="D82" s="25">
        <v>107.57</v>
      </c>
      <c r="E82" s="25">
        <v>110.5</v>
      </c>
      <c r="F82" s="25">
        <v>109.617554</v>
      </c>
      <c r="G82" s="25">
        <v>2.01467E7</v>
      </c>
      <c r="H82" s="25">
        <f t="shared" si="1"/>
        <v>10</v>
      </c>
      <c r="I82" s="25">
        <f t="shared" si="28"/>
        <v>487.0218638</v>
      </c>
      <c r="J82" s="25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>
      <c r="A83" s="24">
        <v>44722.0</v>
      </c>
      <c r="B83" s="25">
        <v>101.940002</v>
      </c>
      <c r="C83" s="25">
        <v>103.349998</v>
      </c>
      <c r="D83" s="25">
        <v>99.790001</v>
      </c>
      <c r="E83" s="25">
        <v>100.459999</v>
      </c>
      <c r="F83" s="25">
        <v>98.698746</v>
      </c>
      <c r="G83" s="25">
        <v>3.09505E7</v>
      </c>
      <c r="H83" s="25">
        <f t="shared" si="1"/>
        <v>10</v>
      </c>
      <c r="I83" s="25">
        <f>(E83-$L$8)^2</f>
        <v>92.66469147</v>
      </c>
      <c r="J83" s="25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>
      <c r="A84" s="24">
        <v>44662.0</v>
      </c>
      <c r="B84" s="25">
        <v>85.779999</v>
      </c>
      <c r="C84" s="25">
        <v>85.93</v>
      </c>
      <c r="D84" s="25">
        <v>83.5</v>
      </c>
      <c r="E84" s="25">
        <v>83.849998</v>
      </c>
      <c r="F84" s="25">
        <v>81.54467</v>
      </c>
      <c r="G84" s="25">
        <v>2.18001E7</v>
      </c>
      <c r="H84" s="25">
        <f t="shared" si="1"/>
        <v>11</v>
      </c>
      <c r="I84" s="25">
        <f t="shared" ref="I84:I85" si="29">(E84-$L$4)^2</f>
        <v>109.098072</v>
      </c>
      <c r="J84" s="25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>
      <c r="A85" s="24">
        <v>44753.0</v>
      </c>
      <c r="B85" s="25">
        <v>85.169998</v>
      </c>
      <c r="C85" s="25">
        <v>86.120003</v>
      </c>
      <c r="D85" s="25">
        <v>84.360001</v>
      </c>
      <c r="E85" s="25">
        <v>85.639999</v>
      </c>
      <c r="F85" s="25">
        <v>84.138573</v>
      </c>
      <c r="G85" s="25">
        <v>1.56038E7</v>
      </c>
      <c r="H85" s="25">
        <f t="shared" si="1"/>
        <v>11</v>
      </c>
      <c r="I85" s="25">
        <f t="shared" si="29"/>
        <v>74.90904664</v>
      </c>
      <c r="J85" s="25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24">
        <v>44572.0</v>
      </c>
      <c r="B86" s="25">
        <v>68.889999</v>
      </c>
      <c r="C86" s="25">
        <v>71.400002</v>
      </c>
      <c r="D86" s="25">
        <v>68.580002</v>
      </c>
      <c r="E86" s="25">
        <v>71.349998</v>
      </c>
      <c r="F86" s="25">
        <v>68.627533</v>
      </c>
      <c r="G86" s="25">
        <v>3.29361E7</v>
      </c>
      <c r="H86" s="25">
        <f t="shared" si="1"/>
        <v>11</v>
      </c>
      <c r="I86" s="25">
        <f t="shared" ref="I86:I87" si="30">(E86-$L$5)^2</f>
        <v>283.8382942</v>
      </c>
      <c r="J86" s="25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24">
        <v>44845.0</v>
      </c>
      <c r="B87" s="25">
        <v>97.220001</v>
      </c>
      <c r="C87" s="25">
        <v>99.760002</v>
      </c>
      <c r="D87" s="25">
        <v>96.75</v>
      </c>
      <c r="E87" s="25">
        <v>98.0</v>
      </c>
      <c r="F87" s="25">
        <v>97.217377</v>
      </c>
      <c r="G87" s="25">
        <v>1.78041E7</v>
      </c>
      <c r="H87" s="25">
        <f t="shared" si="1"/>
        <v>11</v>
      </c>
      <c r="I87" s="25">
        <f t="shared" si="30"/>
        <v>96.0890234</v>
      </c>
      <c r="J87" s="25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24">
        <v>44692.0</v>
      </c>
      <c r="B88" s="25">
        <v>86.43</v>
      </c>
      <c r="C88" s="25">
        <v>88.940002</v>
      </c>
      <c r="D88" s="25">
        <v>86.279999</v>
      </c>
      <c r="E88" s="25">
        <v>86.790001</v>
      </c>
      <c r="F88" s="25">
        <v>84.403839</v>
      </c>
      <c r="G88" s="25">
        <v>3.30206E7</v>
      </c>
      <c r="H88" s="25">
        <f t="shared" si="1"/>
        <v>11</v>
      </c>
      <c r="I88" s="25">
        <f>(E88-$L$6)^2</f>
        <v>0.7098041438</v>
      </c>
      <c r="J88" s="25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24">
        <v>44784.0</v>
      </c>
      <c r="B89" s="25">
        <v>91.839996</v>
      </c>
      <c r="C89" s="25">
        <v>94.300003</v>
      </c>
      <c r="D89" s="25">
        <v>91.440002</v>
      </c>
      <c r="E89" s="25">
        <v>93.190002</v>
      </c>
      <c r="F89" s="25">
        <v>92.445793</v>
      </c>
      <c r="G89" s="25">
        <v>1.87979E7</v>
      </c>
      <c r="H89" s="25">
        <f t="shared" si="1"/>
        <v>11</v>
      </c>
      <c r="I89" s="25">
        <f>(E89-$L$7)^2</f>
        <v>22.64402515</v>
      </c>
      <c r="J89" s="25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24">
        <v>44603.0</v>
      </c>
      <c r="B90" s="25">
        <v>78.620003</v>
      </c>
      <c r="C90" s="25">
        <v>80.32</v>
      </c>
      <c r="D90" s="25">
        <v>78.230003</v>
      </c>
      <c r="E90" s="25">
        <v>80.209999</v>
      </c>
      <c r="F90" s="25">
        <v>78.004745</v>
      </c>
      <c r="G90" s="25">
        <v>4.20021E7</v>
      </c>
      <c r="H90" s="25">
        <f t="shared" si="1"/>
        <v>11</v>
      </c>
      <c r="I90" s="25">
        <f t="shared" ref="I90:I92" si="31">(E90-$L$8)^2</f>
        <v>112.8640614</v>
      </c>
      <c r="J90" s="25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24">
        <v>44631.0</v>
      </c>
      <c r="B91" s="25">
        <v>84.07</v>
      </c>
      <c r="C91" s="25">
        <v>86.230003</v>
      </c>
      <c r="D91" s="25">
        <v>83.970001</v>
      </c>
      <c r="E91" s="25">
        <v>84.919998</v>
      </c>
      <c r="F91" s="25">
        <v>82.585243</v>
      </c>
      <c r="G91" s="25">
        <v>3.53034E7</v>
      </c>
      <c r="H91" s="25">
        <f t="shared" si="1"/>
        <v>11</v>
      </c>
      <c r="I91" s="25">
        <f t="shared" si="31"/>
        <v>34.97244941</v>
      </c>
      <c r="J91" s="25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24">
        <v>44876.0</v>
      </c>
      <c r="B92" s="25">
        <v>112.580002</v>
      </c>
      <c r="C92" s="25">
        <v>114.5</v>
      </c>
      <c r="D92" s="25">
        <v>112.489998</v>
      </c>
      <c r="E92" s="25">
        <v>113.949997</v>
      </c>
      <c r="F92" s="25">
        <v>113.040001</v>
      </c>
      <c r="G92" s="25">
        <v>2.05189E7</v>
      </c>
      <c r="H92" s="25">
        <f t="shared" si="1"/>
        <v>11</v>
      </c>
      <c r="I92" s="25">
        <f t="shared" si="31"/>
        <v>534.3609274</v>
      </c>
      <c r="J92" s="25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24">
        <v>44816.0</v>
      </c>
      <c r="B93" s="25">
        <v>97.650002</v>
      </c>
      <c r="C93" s="25">
        <v>99.190002</v>
      </c>
      <c r="D93" s="25">
        <v>96.879997</v>
      </c>
      <c r="E93" s="25">
        <v>97.610001</v>
      </c>
      <c r="F93" s="25">
        <v>96.83049</v>
      </c>
      <c r="G93" s="25">
        <v>1.61189E7</v>
      </c>
      <c r="H93" s="25">
        <f t="shared" si="1"/>
        <v>12</v>
      </c>
      <c r="I93" s="25">
        <f t="shared" ref="I93:I94" si="32">(E93-$L$4)^2</f>
        <v>10.98922997</v>
      </c>
      <c r="J93" s="25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24">
        <v>44907.0</v>
      </c>
      <c r="B94" s="25">
        <v>103.830002</v>
      </c>
      <c r="C94" s="25">
        <v>106.239998</v>
      </c>
      <c r="D94" s="25">
        <v>103.589996</v>
      </c>
      <c r="E94" s="25">
        <v>106.089996</v>
      </c>
      <c r="F94" s="25">
        <v>106.089996</v>
      </c>
      <c r="G94" s="25">
        <v>2.04132E7</v>
      </c>
      <c r="H94" s="25">
        <f t="shared" si="1"/>
        <v>12</v>
      </c>
      <c r="I94" s="25">
        <f t="shared" si="32"/>
        <v>139.1219247</v>
      </c>
      <c r="J94" s="25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24">
        <v>44663.0</v>
      </c>
      <c r="B95" s="25">
        <v>85.709999</v>
      </c>
      <c r="C95" s="25">
        <v>86.82</v>
      </c>
      <c r="D95" s="25">
        <v>85.379997</v>
      </c>
      <c r="E95" s="25">
        <v>85.599998</v>
      </c>
      <c r="F95" s="25">
        <v>83.246559</v>
      </c>
      <c r="G95" s="25">
        <v>2.24442E7</v>
      </c>
      <c r="H95" s="25">
        <f t="shared" si="1"/>
        <v>12</v>
      </c>
      <c r="I95" s="25">
        <f t="shared" ref="I95:I96" si="33">(E95-$L$5)^2</f>
        <v>6.747012094</v>
      </c>
      <c r="J95" s="25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24">
        <v>44754.0</v>
      </c>
      <c r="B96" s="25">
        <v>83.779999</v>
      </c>
      <c r="C96" s="25">
        <v>85.050003</v>
      </c>
      <c r="D96" s="25">
        <v>82.860001</v>
      </c>
      <c r="E96" s="25">
        <v>84.5</v>
      </c>
      <c r="F96" s="25">
        <v>83.018562</v>
      </c>
      <c r="G96" s="25">
        <v>2.1013E7</v>
      </c>
      <c r="H96" s="25">
        <f t="shared" si="1"/>
        <v>12</v>
      </c>
      <c r="I96" s="25">
        <f t="shared" si="33"/>
        <v>13.67149978</v>
      </c>
      <c r="J96" s="25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24">
        <v>44573.0</v>
      </c>
      <c r="B97" s="25">
        <v>71.139999</v>
      </c>
      <c r="C97" s="25">
        <v>71.809998</v>
      </c>
      <c r="D97" s="25">
        <v>70.639999</v>
      </c>
      <c r="E97" s="25">
        <v>71.139999</v>
      </c>
      <c r="F97" s="25">
        <v>68.425552</v>
      </c>
      <c r="G97" s="25">
        <v>2.30451E7</v>
      </c>
      <c r="H97" s="25">
        <f t="shared" si="1"/>
        <v>12</v>
      </c>
      <c r="I97" s="25">
        <f t="shared" ref="I97:I98" si="34">(E97-$L$6)^2</f>
        <v>272.002581</v>
      </c>
      <c r="J97" s="25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24">
        <v>44846.0</v>
      </c>
      <c r="B98" s="25">
        <v>97.5</v>
      </c>
      <c r="C98" s="25">
        <v>98.910004</v>
      </c>
      <c r="D98" s="25">
        <v>97.230003</v>
      </c>
      <c r="E98" s="25">
        <v>98.43</v>
      </c>
      <c r="F98" s="25">
        <v>97.643944</v>
      </c>
      <c r="G98" s="25">
        <v>1.26358E7</v>
      </c>
      <c r="H98" s="25">
        <f t="shared" si="1"/>
        <v>12</v>
      </c>
      <c r="I98" s="25">
        <f t="shared" si="34"/>
        <v>116.5860116</v>
      </c>
      <c r="J98" s="25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24">
        <v>44693.0</v>
      </c>
      <c r="B99" s="25">
        <v>85.949997</v>
      </c>
      <c r="C99" s="25">
        <v>86.379997</v>
      </c>
      <c r="D99" s="25">
        <v>83.400002</v>
      </c>
      <c r="E99" s="25">
        <v>86.300003</v>
      </c>
      <c r="F99" s="25">
        <v>84.787003</v>
      </c>
      <c r="G99" s="25">
        <v>2.94915E7</v>
      </c>
      <c r="H99" s="25">
        <f t="shared" si="1"/>
        <v>12</v>
      </c>
      <c r="I99" s="25">
        <f>(E99-$L$7)^2</f>
        <v>4.54297314</v>
      </c>
      <c r="J99" s="25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24">
        <v>44785.0</v>
      </c>
      <c r="B100" s="25">
        <v>92.480003</v>
      </c>
      <c r="C100" s="25">
        <v>94.019997</v>
      </c>
      <c r="D100" s="25">
        <v>92.110001</v>
      </c>
      <c r="E100" s="25">
        <v>94.0</v>
      </c>
      <c r="F100" s="25">
        <v>93.249321</v>
      </c>
      <c r="G100" s="25">
        <v>1.50582E7</v>
      </c>
      <c r="H100" s="25">
        <f t="shared" si="1"/>
        <v>12</v>
      </c>
      <c r="I100" s="25">
        <f>(E100-$L$8)^2</f>
        <v>10.02514619</v>
      </c>
      <c r="J100" s="25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24">
        <v>44725.0</v>
      </c>
      <c r="B101" s="25">
        <v>97.519997</v>
      </c>
      <c r="C101" s="25">
        <v>97.769997</v>
      </c>
      <c r="D101" s="25">
        <v>93.919998</v>
      </c>
      <c r="E101" s="25">
        <v>95.849998</v>
      </c>
      <c r="F101" s="25">
        <v>94.169571</v>
      </c>
      <c r="G101" s="25">
        <v>3.3421E7</v>
      </c>
      <c r="H101" s="25">
        <f t="shared" si="1"/>
        <v>13</v>
      </c>
      <c r="I101" s="25">
        <f>(E101-$L$4)^2</f>
        <v>2.418018003</v>
      </c>
      <c r="J101" s="25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24">
        <v>44817.0</v>
      </c>
      <c r="B102" s="25">
        <v>96.610001</v>
      </c>
      <c r="C102" s="25">
        <v>97.779999</v>
      </c>
      <c r="D102" s="25">
        <v>94.910004</v>
      </c>
      <c r="E102" s="25">
        <v>95.330002</v>
      </c>
      <c r="F102" s="25">
        <v>94.568703</v>
      </c>
      <c r="G102" s="25">
        <v>1.82291E7</v>
      </c>
      <c r="H102" s="25">
        <f t="shared" si="1"/>
        <v>13</v>
      </c>
      <c r="I102" s="25">
        <f t="shared" ref="I102:I103" si="35">(E102-$L$5)^2</f>
        <v>50.87259726</v>
      </c>
      <c r="J102" s="25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24">
        <v>44908.0</v>
      </c>
      <c r="B103" s="25">
        <v>107.800003</v>
      </c>
      <c r="C103" s="25">
        <v>108.540001</v>
      </c>
      <c r="D103" s="25">
        <v>107.019997</v>
      </c>
      <c r="E103" s="25">
        <v>107.25</v>
      </c>
      <c r="F103" s="25">
        <v>107.25</v>
      </c>
      <c r="G103" s="25">
        <v>2.43053E7</v>
      </c>
      <c r="H103" s="25">
        <f t="shared" si="1"/>
        <v>13</v>
      </c>
      <c r="I103" s="25">
        <f t="shared" si="35"/>
        <v>362.9977896</v>
      </c>
      <c r="J103" s="25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24">
        <v>44664.0</v>
      </c>
      <c r="B104" s="25">
        <v>86.610001</v>
      </c>
      <c r="C104" s="25">
        <v>87.110001</v>
      </c>
      <c r="D104" s="25">
        <v>85.190002</v>
      </c>
      <c r="E104" s="25">
        <v>86.809998</v>
      </c>
      <c r="F104" s="25">
        <v>84.423294</v>
      </c>
      <c r="G104" s="25">
        <v>1.93068E7</v>
      </c>
      <c r="H104" s="25">
        <f t="shared" si="1"/>
        <v>13</v>
      </c>
      <c r="I104" s="25">
        <f t="shared" ref="I104:I105" si="36">(E104-$L$6)^2</f>
        <v>0.6765091288</v>
      </c>
      <c r="J104" s="25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24">
        <v>44755.0</v>
      </c>
      <c r="B105" s="25">
        <v>83.379997</v>
      </c>
      <c r="C105" s="25">
        <v>86.309998</v>
      </c>
      <c r="D105" s="25">
        <v>83.300003</v>
      </c>
      <c r="E105" s="25">
        <v>84.839996</v>
      </c>
      <c r="F105" s="25">
        <v>83.352592</v>
      </c>
      <c r="G105" s="25">
        <v>1.99286E7</v>
      </c>
      <c r="H105" s="25">
        <f t="shared" si="1"/>
        <v>13</v>
      </c>
      <c r="I105" s="25">
        <f t="shared" si="36"/>
        <v>7.798077194</v>
      </c>
      <c r="J105" s="25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24">
        <v>44574.0</v>
      </c>
      <c r="B106" s="25">
        <v>71.120003</v>
      </c>
      <c r="C106" s="25">
        <v>71.580002</v>
      </c>
      <c r="D106" s="25">
        <v>70.309998</v>
      </c>
      <c r="E106" s="25">
        <v>70.629997</v>
      </c>
      <c r="F106" s="25">
        <v>67.935013</v>
      </c>
      <c r="G106" s="25">
        <v>2.10432E7</v>
      </c>
      <c r="H106" s="25">
        <f t="shared" si="1"/>
        <v>13</v>
      </c>
      <c r="I106" s="25">
        <f t="shared" ref="I106:I107" si="37">(E106-$L$7)^2</f>
        <v>316.8909507</v>
      </c>
      <c r="J106" s="25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24">
        <v>44847.0</v>
      </c>
      <c r="B107" s="25">
        <v>97.550003</v>
      </c>
      <c r="C107" s="25">
        <v>102.449997</v>
      </c>
      <c r="D107" s="25">
        <v>97.400002</v>
      </c>
      <c r="E107" s="25">
        <v>101.870003</v>
      </c>
      <c r="F107" s="25">
        <v>101.056473</v>
      </c>
      <c r="G107" s="25">
        <v>2.20191E7</v>
      </c>
      <c r="H107" s="25">
        <f t="shared" si="1"/>
        <v>13</v>
      </c>
      <c r="I107" s="25">
        <f t="shared" si="37"/>
        <v>180.5952942</v>
      </c>
      <c r="J107" s="25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24">
        <v>44694.0</v>
      </c>
      <c r="B108" s="25">
        <v>87.360001</v>
      </c>
      <c r="C108" s="25">
        <v>88.949997</v>
      </c>
      <c r="D108" s="25">
        <v>86.349998</v>
      </c>
      <c r="E108" s="25">
        <v>88.860001</v>
      </c>
      <c r="F108" s="25">
        <v>87.302116</v>
      </c>
      <c r="G108" s="25">
        <v>2.57984E7</v>
      </c>
      <c r="H108" s="25">
        <f t="shared" si="1"/>
        <v>13</v>
      </c>
      <c r="I108" s="25">
        <f>(E108-$L$8)^2</f>
        <v>3.895680674</v>
      </c>
      <c r="J108" s="25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24">
        <v>44606.0</v>
      </c>
      <c r="B109" s="25">
        <v>79.580002</v>
      </c>
      <c r="C109" s="25">
        <v>79.839996</v>
      </c>
      <c r="D109" s="25">
        <v>77.050003</v>
      </c>
      <c r="E109" s="25">
        <v>78.980003</v>
      </c>
      <c r="F109" s="25">
        <v>76.808563</v>
      </c>
      <c r="G109" s="25">
        <v>3.46528E7</v>
      </c>
      <c r="H109" s="25">
        <f t="shared" si="1"/>
        <v>14</v>
      </c>
      <c r="I109" s="25">
        <f t="shared" ref="I109:I111" si="38">(E109-$L$4)^2</f>
        <v>234.5491408</v>
      </c>
      <c r="J109" s="25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24">
        <v>44634.0</v>
      </c>
      <c r="B110" s="25">
        <v>83.059998</v>
      </c>
      <c r="C110" s="25">
        <v>83.449997</v>
      </c>
      <c r="D110" s="25">
        <v>80.5</v>
      </c>
      <c r="E110" s="25">
        <v>81.879997</v>
      </c>
      <c r="F110" s="25">
        <v>79.628822</v>
      </c>
      <c r="G110" s="25">
        <v>3.74626E7</v>
      </c>
      <c r="H110" s="25">
        <f t="shared" si="1"/>
        <v>14</v>
      </c>
      <c r="I110" s="25">
        <f t="shared" si="38"/>
        <v>154.1323057</v>
      </c>
      <c r="J110" s="25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24">
        <v>44879.0</v>
      </c>
      <c r="B111" s="25">
        <v>112.629997</v>
      </c>
      <c r="C111" s="25">
        <v>114.639999</v>
      </c>
      <c r="D111" s="25">
        <v>112.489998</v>
      </c>
      <c r="E111" s="25">
        <v>113.370003</v>
      </c>
      <c r="F111" s="25">
        <v>113.370003</v>
      </c>
      <c r="G111" s="25">
        <v>2.08583E7</v>
      </c>
      <c r="H111" s="25">
        <f t="shared" si="1"/>
        <v>14</v>
      </c>
      <c r="I111" s="25">
        <f t="shared" si="38"/>
        <v>363.8557299</v>
      </c>
      <c r="J111" s="25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24">
        <v>44726.0</v>
      </c>
      <c r="B112" s="25">
        <v>97.410004</v>
      </c>
      <c r="C112" s="25">
        <v>98.669998</v>
      </c>
      <c r="D112" s="25">
        <v>95.269997</v>
      </c>
      <c r="E112" s="25">
        <v>96.099998</v>
      </c>
      <c r="F112" s="25">
        <v>94.415192</v>
      </c>
      <c r="G112" s="25">
        <v>3.1264E7</v>
      </c>
      <c r="H112" s="25">
        <f t="shared" si="1"/>
        <v>14</v>
      </c>
      <c r="I112" s="25">
        <f>(E112-$L$5)^2</f>
        <v>62.44948847</v>
      </c>
      <c r="J112" s="25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24">
        <v>44818.0</v>
      </c>
      <c r="B113" s="25">
        <v>96.190002</v>
      </c>
      <c r="C113" s="25">
        <v>98.559998</v>
      </c>
      <c r="D113" s="25">
        <v>96.150002</v>
      </c>
      <c r="E113" s="25">
        <v>97.669998</v>
      </c>
      <c r="F113" s="25">
        <v>96.890007</v>
      </c>
      <c r="G113" s="25">
        <v>2.26557E7</v>
      </c>
      <c r="H113" s="25">
        <f t="shared" si="1"/>
        <v>14</v>
      </c>
      <c r="I113" s="25">
        <f t="shared" ref="I113:I114" si="39">(E113-$L$6)^2</f>
        <v>100.7513711</v>
      </c>
      <c r="J113" s="25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24">
        <v>44909.0</v>
      </c>
      <c r="B114" s="25">
        <v>107.989998</v>
      </c>
      <c r="C114" s="25">
        <v>108.300003</v>
      </c>
      <c r="D114" s="25">
        <v>105.75</v>
      </c>
      <c r="E114" s="25">
        <v>106.459999</v>
      </c>
      <c r="F114" s="25">
        <v>106.459999</v>
      </c>
      <c r="G114" s="25">
        <v>1.75973E7</v>
      </c>
      <c r="H114" s="25">
        <f t="shared" si="1"/>
        <v>14</v>
      </c>
      <c r="I114" s="25">
        <f t="shared" si="39"/>
        <v>354.474728</v>
      </c>
      <c r="J114" s="25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24">
        <v>44665.0</v>
      </c>
      <c r="B115" s="25">
        <v>86.669998</v>
      </c>
      <c r="C115" s="25">
        <v>88.459999</v>
      </c>
      <c r="D115" s="25">
        <v>86.230003</v>
      </c>
      <c r="E115" s="25">
        <v>87.830002</v>
      </c>
      <c r="F115" s="25">
        <v>85.415245</v>
      </c>
      <c r="G115" s="25">
        <v>2.45664E7</v>
      </c>
      <c r="H115" s="25">
        <f t="shared" si="1"/>
        <v>14</v>
      </c>
      <c r="I115" s="25">
        <f t="shared" ref="I115:I116" si="40">(E115-$L$7)^2</f>
        <v>0.3617134053</v>
      </c>
      <c r="J115" s="25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24">
        <v>44756.0</v>
      </c>
      <c r="B116" s="25">
        <v>81.849998</v>
      </c>
      <c r="C116" s="25">
        <v>83.309998</v>
      </c>
      <c r="D116" s="25">
        <v>80.690002</v>
      </c>
      <c r="E116" s="25">
        <v>83.139999</v>
      </c>
      <c r="F116" s="25">
        <v>81.682404</v>
      </c>
      <c r="G116" s="25">
        <v>2.6343E7</v>
      </c>
      <c r="H116" s="25">
        <f t="shared" si="1"/>
        <v>14</v>
      </c>
      <c r="I116" s="25">
        <f t="shared" si="40"/>
        <v>27.99922237</v>
      </c>
      <c r="J116" s="25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24">
        <v>44575.0</v>
      </c>
      <c r="B117" s="25">
        <v>70.650002</v>
      </c>
      <c r="C117" s="25">
        <v>72.150002</v>
      </c>
      <c r="D117" s="25">
        <v>70.599998</v>
      </c>
      <c r="E117" s="25">
        <v>71.870003</v>
      </c>
      <c r="F117" s="25">
        <v>69.127701</v>
      </c>
      <c r="G117" s="25">
        <v>2.30129E7</v>
      </c>
      <c r="H117" s="25">
        <f t="shared" si="1"/>
        <v>14</v>
      </c>
      <c r="I117" s="25">
        <f t="shared" ref="I117:I118" si="41">(E117-$L$8)^2</f>
        <v>359.6236576</v>
      </c>
      <c r="J117" s="25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24">
        <v>44848.0</v>
      </c>
      <c r="B118" s="25">
        <v>101.120003</v>
      </c>
      <c r="C118" s="25">
        <v>102.239998</v>
      </c>
      <c r="D118" s="25">
        <v>99.040001</v>
      </c>
      <c r="E118" s="25">
        <v>99.190002</v>
      </c>
      <c r="F118" s="25">
        <v>98.397873</v>
      </c>
      <c r="G118" s="25">
        <v>1.5222E7</v>
      </c>
      <c r="H118" s="25">
        <f t="shared" si="1"/>
        <v>14</v>
      </c>
      <c r="I118" s="25">
        <f t="shared" si="41"/>
        <v>69.82696629</v>
      </c>
      <c r="J118" s="25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24">
        <v>44788.0</v>
      </c>
      <c r="B119" s="25">
        <v>90.529999</v>
      </c>
      <c r="C119" s="25">
        <v>92.730003</v>
      </c>
      <c r="D119" s="25">
        <v>89.660004</v>
      </c>
      <c r="E119" s="25">
        <v>92.32</v>
      </c>
      <c r="F119" s="25">
        <v>91.582733</v>
      </c>
      <c r="G119" s="25">
        <v>2.07552E7</v>
      </c>
      <c r="H119" s="25">
        <f t="shared" si="1"/>
        <v>15</v>
      </c>
      <c r="I119" s="25">
        <f>(E119-$L$4)^2</f>
        <v>3.900625988</v>
      </c>
      <c r="J119" s="25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24">
        <v>44607.0</v>
      </c>
      <c r="B120" s="25">
        <v>76.900002</v>
      </c>
      <c r="C120" s="25">
        <v>78.190002</v>
      </c>
      <c r="D120" s="25">
        <v>76.419998</v>
      </c>
      <c r="E120" s="25">
        <v>77.989998</v>
      </c>
      <c r="F120" s="25">
        <v>75.845779</v>
      </c>
      <c r="G120" s="25">
        <v>2.50751E7</v>
      </c>
      <c r="H120" s="25">
        <f t="shared" si="1"/>
        <v>15</v>
      </c>
      <c r="I120" s="25">
        <f t="shared" ref="I120:I122" si="42">(E120-$L$5)^2</f>
        <v>104.1930792</v>
      </c>
      <c r="J120" s="25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24">
        <v>44635.0</v>
      </c>
      <c r="B121" s="25">
        <v>78.82</v>
      </c>
      <c r="C121" s="25">
        <v>79.169998</v>
      </c>
      <c r="D121" s="25">
        <v>76.370003</v>
      </c>
      <c r="E121" s="25">
        <v>77.220001</v>
      </c>
      <c r="F121" s="25">
        <v>75.096954</v>
      </c>
      <c r="G121" s="25">
        <v>4.79579E7</v>
      </c>
      <c r="H121" s="25">
        <f t="shared" si="1"/>
        <v>15</v>
      </c>
      <c r="I121" s="25">
        <f t="shared" si="42"/>
        <v>120.5054651</v>
      </c>
      <c r="J121" s="25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24">
        <v>44880.0</v>
      </c>
      <c r="B122" s="25">
        <v>113.800003</v>
      </c>
      <c r="C122" s="25">
        <v>114.529999</v>
      </c>
      <c r="D122" s="25">
        <v>112.870003</v>
      </c>
      <c r="E122" s="25">
        <v>114.129997</v>
      </c>
      <c r="F122" s="25">
        <v>114.129997</v>
      </c>
      <c r="G122" s="25">
        <v>1.93738E7</v>
      </c>
      <c r="H122" s="25">
        <f t="shared" si="1"/>
        <v>15</v>
      </c>
      <c r="I122" s="25">
        <f t="shared" si="42"/>
        <v>672.494446</v>
      </c>
      <c r="J122" s="25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24">
        <v>44727.0</v>
      </c>
      <c r="B123" s="25">
        <v>95.989998</v>
      </c>
      <c r="C123" s="25">
        <v>96.57</v>
      </c>
      <c r="D123" s="25">
        <v>93.269997</v>
      </c>
      <c r="E123" s="25">
        <v>94.889999</v>
      </c>
      <c r="F123" s="25">
        <v>93.226402</v>
      </c>
      <c r="G123" s="25">
        <v>2.96208E7</v>
      </c>
      <c r="H123" s="25">
        <f t="shared" si="1"/>
        <v>15</v>
      </c>
      <c r="I123" s="25">
        <f>(E123-$L$6)^2</f>
        <v>52.67129536</v>
      </c>
      <c r="J123" s="25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24">
        <v>44819.0</v>
      </c>
      <c r="B124" s="25">
        <v>96.220001</v>
      </c>
      <c r="C124" s="25">
        <v>96.540001</v>
      </c>
      <c r="D124" s="25">
        <v>94.050003</v>
      </c>
      <c r="E124" s="25">
        <v>94.830002</v>
      </c>
      <c r="F124" s="25">
        <v>94.072693</v>
      </c>
      <c r="G124" s="25">
        <v>2.10923E7</v>
      </c>
      <c r="H124" s="25">
        <f t="shared" si="1"/>
        <v>15</v>
      </c>
      <c r="I124" s="25">
        <f t="shared" ref="I124:I125" si="43">(E124-$L$7)^2</f>
        <v>40.94174741</v>
      </c>
      <c r="J124" s="25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24">
        <v>44910.0</v>
      </c>
      <c r="B125" s="25">
        <v>105.330002</v>
      </c>
      <c r="C125" s="25">
        <v>106.169998</v>
      </c>
      <c r="D125" s="25">
        <v>103.699997</v>
      </c>
      <c r="E125" s="25">
        <v>105.440002</v>
      </c>
      <c r="F125" s="25">
        <v>105.440002</v>
      </c>
      <c r="G125" s="25">
        <v>1.53651E7</v>
      </c>
      <c r="H125" s="25">
        <f t="shared" si="1"/>
        <v>15</v>
      </c>
      <c r="I125" s="25">
        <f t="shared" si="43"/>
        <v>289.2915847</v>
      </c>
      <c r="J125" s="25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24">
        <v>44757.0</v>
      </c>
      <c r="B126" s="25">
        <v>84.800003</v>
      </c>
      <c r="C126" s="25">
        <v>84.879997</v>
      </c>
      <c r="D126" s="25">
        <v>82.900002</v>
      </c>
      <c r="E126" s="25">
        <v>84.540001</v>
      </c>
      <c r="F126" s="25">
        <v>83.057854</v>
      </c>
      <c r="G126" s="25">
        <v>1.72437E7</v>
      </c>
      <c r="H126" s="25">
        <f t="shared" si="1"/>
        <v>15</v>
      </c>
      <c r="I126" s="25">
        <f>(E126-$L$8)^2</f>
        <v>39.61126231</v>
      </c>
      <c r="J126" s="25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24">
        <v>44697.0</v>
      </c>
      <c r="B127" s="25">
        <v>88.980003</v>
      </c>
      <c r="C127" s="25">
        <v>91.980003</v>
      </c>
      <c r="D127" s="25">
        <v>88.970001</v>
      </c>
      <c r="E127" s="25">
        <v>90.949997</v>
      </c>
      <c r="F127" s="25">
        <v>89.355476</v>
      </c>
      <c r="G127" s="25">
        <v>2.61012E7</v>
      </c>
      <c r="H127" s="25">
        <f t="shared" si="1"/>
        <v>16</v>
      </c>
      <c r="I127" s="25">
        <f>(E127-$L$4)^2</f>
        <v>11.18904674</v>
      </c>
      <c r="J127" s="25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24">
        <v>44789.0</v>
      </c>
      <c r="B128" s="25">
        <v>92.029999</v>
      </c>
      <c r="C128" s="25">
        <v>92.889999</v>
      </c>
      <c r="D128" s="25">
        <v>91.290001</v>
      </c>
      <c r="E128" s="25">
        <v>91.459999</v>
      </c>
      <c r="F128" s="25">
        <v>90.729607</v>
      </c>
      <c r="G128" s="25">
        <v>1.40382E7</v>
      </c>
      <c r="H128" s="25">
        <f t="shared" si="1"/>
        <v>16</v>
      </c>
      <c r="I128" s="25">
        <f>(E128-$L$5)^2</f>
        <v>10.64390543</v>
      </c>
      <c r="J128" s="25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24">
        <v>44608.0</v>
      </c>
      <c r="B129" s="25">
        <v>78.790001</v>
      </c>
      <c r="C129" s="25">
        <v>79.730003</v>
      </c>
      <c r="D129" s="25">
        <v>78.040001</v>
      </c>
      <c r="E129" s="25">
        <v>78.349998</v>
      </c>
      <c r="F129" s="25">
        <v>76.195877</v>
      </c>
      <c r="G129" s="25">
        <v>2.17338E7</v>
      </c>
      <c r="H129" s="25">
        <f t="shared" si="1"/>
        <v>16</v>
      </c>
      <c r="I129" s="25">
        <f t="shared" ref="I129:I131" si="44">(E129-$L$6)^2</f>
        <v>86.16483874</v>
      </c>
      <c r="J129" s="25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24">
        <v>44636.0</v>
      </c>
      <c r="B130" s="25">
        <v>77.809998</v>
      </c>
      <c r="C130" s="25">
        <v>78.620003</v>
      </c>
      <c r="D130" s="25">
        <v>76.25</v>
      </c>
      <c r="E130" s="25">
        <v>76.93</v>
      </c>
      <c r="F130" s="25">
        <v>74.814926</v>
      </c>
      <c r="G130" s="25">
        <v>3.78123E7</v>
      </c>
      <c r="H130" s="25">
        <f t="shared" si="1"/>
        <v>16</v>
      </c>
      <c r="I130" s="25">
        <f t="shared" si="44"/>
        <v>114.5435009</v>
      </c>
      <c r="J130" s="25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24">
        <v>44881.0</v>
      </c>
      <c r="B131" s="25">
        <v>113.440002</v>
      </c>
      <c r="C131" s="25">
        <v>114.260002</v>
      </c>
      <c r="D131" s="25">
        <v>111.860001</v>
      </c>
      <c r="E131" s="25">
        <v>112.910004</v>
      </c>
      <c r="F131" s="25">
        <v>112.910004</v>
      </c>
      <c r="G131" s="25">
        <v>1.3591E7</v>
      </c>
      <c r="H131" s="25">
        <f t="shared" si="1"/>
        <v>16</v>
      </c>
      <c r="I131" s="25">
        <f t="shared" si="44"/>
        <v>638.9522211</v>
      </c>
      <c r="J131" s="25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24">
        <v>44728.0</v>
      </c>
      <c r="B132" s="25">
        <v>92.410004</v>
      </c>
      <c r="C132" s="25">
        <v>93.129997</v>
      </c>
      <c r="D132" s="25">
        <v>90.279999</v>
      </c>
      <c r="E132" s="25">
        <v>91.389999</v>
      </c>
      <c r="F132" s="25">
        <v>89.787766</v>
      </c>
      <c r="G132" s="25">
        <v>3.56967E7</v>
      </c>
      <c r="H132" s="25">
        <f t="shared" si="1"/>
        <v>16</v>
      </c>
      <c r="I132" s="25">
        <f>(E132-$L$7)^2</f>
        <v>8.753141517</v>
      </c>
      <c r="J132" s="25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24">
        <v>44820.0</v>
      </c>
      <c r="B133" s="25">
        <v>95.07</v>
      </c>
      <c r="C133" s="25">
        <v>95.339996</v>
      </c>
      <c r="D133" s="25">
        <v>92.0</v>
      </c>
      <c r="E133" s="25">
        <v>93.209999</v>
      </c>
      <c r="F133" s="25">
        <v>92.46563</v>
      </c>
      <c r="G133" s="25">
        <v>3.78747E7</v>
      </c>
      <c r="H133" s="25">
        <f t="shared" si="1"/>
        <v>16</v>
      </c>
      <c r="I133" s="25">
        <f t="shared" ref="I133:I134" si="45">(E133-$L$8)^2</f>
        <v>5.646564657</v>
      </c>
      <c r="J133" s="25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24">
        <v>44911.0</v>
      </c>
      <c r="B134" s="25">
        <v>103.690002</v>
      </c>
      <c r="C134" s="25">
        <v>105.580002</v>
      </c>
      <c r="D134" s="25">
        <v>103.129997</v>
      </c>
      <c r="E134" s="25">
        <v>104.699997</v>
      </c>
      <c r="F134" s="25">
        <v>104.699997</v>
      </c>
      <c r="G134" s="25">
        <v>5.45966E7</v>
      </c>
      <c r="H134" s="25">
        <f t="shared" si="1"/>
        <v>16</v>
      </c>
      <c r="I134" s="25">
        <f t="shared" si="45"/>
        <v>192.2728371</v>
      </c>
      <c r="J134" s="25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24">
        <v>44851.0</v>
      </c>
      <c r="B135" s="25">
        <v>101.07</v>
      </c>
      <c r="C135" s="25">
        <v>101.970001</v>
      </c>
      <c r="D135" s="25">
        <v>100.5</v>
      </c>
      <c r="E135" s="25">
        <v>100.620003</v>
      </c>
      <c r="F135" s="25">
        <v>99.81646</v>
      </c>
      <c r="G135" s="25">
        <v>1.42832E7</v>
      </c>
      <c r="H135" s="25">
        <f t="shared" si="1"/>
        <v>17</v>
      </c>
      <c r="I135" s="25">
        <f>(E135-$L$4)^2</f>
        <v>40.00565979</v>
      </c>
      <c r="J135" s="25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24">
        <v>44698.0</v>
      </c>
      <c r="B136" s="25">
        <v>91.730003</v>
      </c>
      <c r="C136" s="25">
        <v>92.449997</v>
      </c>
      <c r="D136" s="25">
        <v>91.120003</v>
      </c>
      <c r="E136" s="25">
        <v>92.110001</v>
      </c>
      <c r="F136" s="25">
        <v>90.49514</v>
      </c>
      <c r="G136" s="25">
        <v>2.31207E7</v>
      </c>
      <c r="H136" s="25">
        <f t="shared" si="1"/>
        <v>17</v>
      </c>
      <c r="I136" s="25">
        <f>(E136-$L$5)^2</f>
        <v>15.30767092</v>
      </c>
      <c r="J136" s="25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24">
        <v>44790.0</v>
      </c>
      <c r="B137" s="25">
        <v>91.269997</v>
      </c>
      <c r="C137" s="25">
        <v>93.209999</v>
      </c>
      <c r="D137" s="25">
        <v>90.919998</v>
      </c>
      <c r="E137" s="25">
        <v>92.199997</v>
      </c>
      <c r="F137" s="25">
        <v>91.463692</v>
      </c>
      <c r="G137" s="25">
        <v>1.3678E7</v>
      </c>
      <c r="H137" s="25">
        <f t="shared" si="1"/>
        <v>17</v>
      </c>
      <c r="I137" s="25">
        <f>(E137-$L$6)^2</f>
        <v>20.86203113</v>
      </c>
      <c r="J137" s="25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24">
        <v>44609.0</v>
      </c>
      <c r="B138" s="25">
        <v>78.480003</v>
      </c>
      <c r="C138" s="25">
        <v>79.120003</v>
      </c>
      <c r="D138" s="25">
        <v>77.949997</v>
      </c>
      <c r="E138" s="25">
        <v>78.230003</v>
      </c>
      <c r="F138" s="25">
        <v>76.079185</v>
      </c>
      <c r="G138" s="25">
        <v>2.37388E7</v>
      </c>
      <c r="H138" s="25">
        <f t="shared" si="1"/>
        <v>17</v>
      </c>
      <c r="I138" s="25">
        <f t="shared" ref="I138:I140" si="46">(E138-$L$7)^2</f>
        <v>104.0690749</v>
      </c>
      <c r="J138" s="25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24">
        <v>44637.0</v>
      </c>
      <c r="B139" s="25">
        <v>78.18</v>
      </c>
      <c r="C139" s="25">
        <v>79.150002</v>
      </c>
      <c r="D139" s="25">
        <v>77.07</v>
      </c>
      <c r="E139" s="25">
        <v>78.980003</v>
      </c>
      <c r="F139" s="25">
        <v>76.808563</v>
      </c>
      <c r="G139" s="25">
        <v>3.40419E7</v>
      </c>
      <c r="H139" s="25">
        <f t="shared" si="1"/>
        <v>17</v>
      </c>
      <c r="I139" s="25">
        <f t="shared" si="46"/>
        <v>89.32943723</v>
      </c>
      <c r="J139" s="25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24">
        <v>44882.0</v>
      </c>
      <c r="B140" s="25">
        <v>111.290001</v>
      </c>
      <c r="C140" s="25">
        <v>113.199997</v>
      </c>
      <c r="D140" s="25">
        <v>110.75</v>
      </c>
      <c r="E140" s="25">
        <v>113.059998</v>
      </c>
      <c r="F140" s="25">
        <v>113.059998</v>
      </c>
      <c r="G140" s="25">
        <v>1.24259E7</v>
      </c>
      <c r="H140" s="25">
        <f t="shared" si="1"/>
        <v>17</v>
      </c>
      <c r="I140" s="25">
        <f t="shared" si="46"/>
        <v>606.5664532</v>
      </c>
      <c r="J140" s="25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24">
        <v>44729.0</v>
      </c>
      <c r="B141" s="25">
        <v>90.959999</v>
      </c>
      <c r="C141" s="25">
        <v>91.349998</v>
      </c>
      <c r="D141" s="25">
        <v>85.660004</v>
      </c>
      <c r="E141" s="25">
        <v>86.120003</v>
      </c>
      <c r="F141" s="25">
        <v>84.610161</v>
      </c>
      <c r="G141" s="25">
        <v>6.46102E7</v>
      </c>
      <c r="H141" s="25">
        <f t="shared" si="1"/>
        <v>17</v>
      </c>
      <c r="I141" s="25">
        <f>(E141-$L$8)^2</f>
        <v>22.21940017</v>
      </c>
      <c r="J141" s="25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24">
        <v>44669.0</v>
      </c>
      <c r="B142" s="25">
        <v>88.5</v>
      </c>
      <c r="C142" s="25">
        <v>88.889999</v>
      </c>
      <c r="D142" s="25">
        <v>87.75</v>
      </c>
      <c r="E142" s="25">
        <v>88.550003</v>
      </c>
      <c r="F142" s="25">
        <v>86.115463</v>
      </c>
      <c r="G142" s="25">
        <v>1.90323E7</v>
      </c>
      <c r="H142" s="25">
        <f t="shared" si="1"/>
        <v>18</v>
      </c>
      <c r="I142" s="25">
        <f t="shared" ref="I142:I143" si="47">(E142-$L$4)^2</f>
        <v>33.0049934</v>
      </c>
      <c r="J142" s="25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24">
        <v>44760.0</v>
      </c>
      <c r="B143" s="25">
        <v>86.580002</v>
      </c>
      <c r="C143" s="25">
        <v>87.940002</v>
      </c>
      <c r="D143" s="25">
        <v>85.75</v>
      </c>
      <c r="E143" s="25">
        <v>86.099998</v>
      </c>
      <c r="F143" s="25">
        <v>84.590508</v>
      </c>
      <c r="G143" s="25">
        <v>1.93958E7</v>
      </c>
      <c r="H143" s="25">
        <f t="shared" si="1"/>
        <v>18</v>
      </c>
      <c r="I143" s="25">
        <f t="shared" si="47"/>
        <v>67.15806188</v>
      </c>
      <c r="J143" s="25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24">
        <v>44579.0</v>
      </c>
      <c r="B144" s="25">
        <v>72.82</v>
      </c>
      <c r="C144" s="25">
        <v>73.879997</v>
      </c>
      <c r="D144" s="25">
        <v>72.010002</v>
      </c>
      <c r="E144" s="25">
        <v>73.080002</v>
      </c>
      <c r="F144" s="25">
        <v>70.291527</v>
      </c>
      <c r="G144" s="25">
        <v>3.28412E7</v>
      </c>
      <c r="H144" s="25">
        <f t="shared" si="1"/>
        <v>18</v>
      </c>
      <c r="I144" s="25">
        <f t="shared" ref="I144:I145" si="48">(E144-$L$5)^2</f>
        <v>228.5387193</v>
      </c>
      <c r="J144" s="25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24">
        <v>44852.0</v>
      </c>
      <c r="B145" s="25">
        <v>101.540001</v>
      </c>
      <c r="C145" s="25">
        <v>102.349998</v>
      </c>
      <c r="D145" s="25">
        <v>99.230003</v>
      </c>
      <c r="E145" s="25">
        <v>100.800003</v>
      </c>
      <c r="F145" s="25">
        <v>99.995018</v>
      </c>
      <c r="G145" s="25">
        <v>1.40654E7</v>
      </c>
      <c r="H145" s="25">
        <f t="shared" si="1"/>
        <v>18</v>
      </c>
      <c r="I145" s="25">
        <f t="shared" si="48"/>
        <v>158.8231039</v>
      </c>
      <c r="J145" s="25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24">
        <v>44699.0</v>
      </c>
      <c r="B146" s="25">
        <v>92.510002</v>
      </c>
      <c r="C146" s="25">
        <v>92.919998</v>
      </c>
      <c r="D146" s="25">
        <v>89.830002</v>
      </c>
      <c r="E146" s="25">
        <v>90.650002</v>
      </c>
      <c r="F146" s="25">
        <v>89.060745</v>
      </c>
      <c r="G146" s="25">
        <v>2.54512E7</v>
      </c>
      <c r="H146" s="25">
        <f t="shared" si="1"/>
        <v>18</v>
      </c>
      <c r="I146" s="25">
        <f>(E146-$L$6)^2</f>
        <v>9.105319829</v>
      </c>
      <c r="J146" s="25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24">
        <v>44791.0</v>
      </c>
      <c r="B147" s="25">
        <v>93.150002</v>
      </c>
      <c r="C147" s="25">
        <v>95.309998</v>
      </c>
      <c r="D147" s="25">
        <v>93.089996</v>
      </c>
      <c r="E147" s="25">
        <v>94.379997</v>
      </c>
      <c r="F147" s="25">
        <v>93.626282</v>
      </c>
      <c r="G147" s="25">
        <v>1.77704E7</v>
      </c>
      <c r="H147" s="25">
        <f t="shared" si="1"/>
        <v>18</v>
      </c>
      <c r="I147" s="25">
        <f>(E147-$L$7)^2</f>
        <v>35.38547145</v>
      </c>
      <c r="J147" s="25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24">
        <v>44610.0</v>
      </c>
      <c r="B148" s="25">
        <v>77.160004</v>
      </c>
      <c r="C148" s="25">
        <v>78.169998</v>
      </c>
      <c r="D148" s="25">
        <v>76.889999</v>
      </c>
      <c r="E148" s="25">
        <v>77.360001</v>
      </c>
      <c r="F148" s="25">
        <v>75.233109</v>
      </c>
      <c r="G148" s="25">
        <v>2.33948E7</v>
      </c>
      <c r="H148" s="25">
        <f t="shared" si="1"/>
        <v>18</v>
      </c>
      <c r="I148" s="25">
        <f t="shared" ref="I148:I150" si="49">(E148-$L$8)^2</f>
        <v>181.5418818</v>
      </c>
      <c r="J148" s="25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24">
        <v>44638.0</v>
      </c>
      <c r="B149" s="25">
        <v>79.059998</v>
      </c>
      <c r="C149" s="25">
        <v>79.389999</v>
      </c>
      <c r="D149" s="25">
        <v>78.099998</v>
      </c>
      <c r="E149" s="25">
        <v>78.669998</v>
      </c>
      <c r="F149" s="25">
        <v>76.50708</v>
      </c>
      <c r="G149" s="25">
        <v>4.14615E7</v>
      </c>
      <c r="H149" s="25">
        <f t="shared" si="1"/>
        <v>18</v>
      </c>
      <c r="I149" s="25">
        <f t="shared" si="49"/>
        <v>147.9568353</v>
      </c>
      <c r="J149" s="25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24">
        <v>44883.0</v>
      </c>
      <c r="B150" s="25">
        <v>110.900002</v>
      </c>
      <c r="C150" s="25">
        <v>112.480003</v>
      </c>
      <c r="D150" s="25">
        <v>109.610001</v>
      </c>
      <c r="E150" s="25">
        <v>112.080002</v>
      </c>
      <c r="F150" s="25">
        <v>112.080002</v>
      </c>
      <c r="G150" s="25">
        <v>1.5415E7</v>
      </c>
      <c r="H150" s="25">
        <f t="shared" si="1"/>
        <v>18</v>
      </c>
      <c r="I150" s="25">
        <f t="shared" si="49"/>
        <v>451.4032719</v>
      </c>
      <c r="J150" s="25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24">
        <v>44823.0</v>
      </c>
      <c r="B151" s="25">
        <v>91.010002</v>
      </c>
      <c r="C151" s="25">
        <v>93.489998</v>
      </c>
      <c r="D151" s="25">
        <v>91.0</v>
      </c>
      <c r="E151" s="25">
        <v>93.199997</v>
      </c>
      <c r="F151" s="25">
        <v>92.455704</v>
      </c>
      <c r="G151" s="25">
        <v>1.53421E7</v>
      </c>
      <c r="H151" s="25">
        <f t="shared" si="1"/>
        <v>19</v>
      </c>
      <c r="I151" s="25">
        <f t="shared" ref="I151:I152" si="50">(E151-$L$4)^2</f>
        <v>1.199032118</v>
      </c>
      <c r="J151" s="25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24">
        <v>44914.0</v>
      </c>
      <c r="B152" s="25">
        <v>105.260002</v>
      </c>
      <c r="C152" s="25">
        <v>106.199997</v>
      </c>
      <c r="D152" s="25">
        <v>104.379997</v>
      </c>
      <c r="E152" s="25">
        <v>105.169998</v>
      </c>
      <c r="F152" s="25">
        <v>105.169998</v>
      </c>
      <c r="G152" s="25">
        <v>1.36111E7</v>
      </c>
      <c r="H152" s="25">
        <f t="shared" si="1"/>
        <v>19</v>
      </c>
      <c r="I152" s="25">
        <f t="shared" si="50"/>
        <v>118.2655761</v>
      </c>
      <c r="J152" s="25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24">
        <v>44670.0</v>
      </c>
      <c r="B153" s="25">
        <v>88.010002</v>
      </c>
      <c r="C153" s="25">
        <v>88.660004</v>
      </c>
      <c r="D153" s="25">
        <v>87.269997</v>
      </c>
      <c r="E153" s="25">
        <v>87.760002</v>
      </c>
      <c r="F153" s="25">
        <v>85.347176</v>
      </c>
      <c r="G153" s="25">
        <v>2.03826E7</v>
      </c>
      <c r="H153" s="25">
        <f t="shared" si="1"/>
        <v>19</v>
      </c>
      <c r="I153" s="25">
        <f t="shared" ref="I153:I154" si="51">(E153-$L$5)^2</f>
        <v>0.1914037344</v>
      </c>
      <c r="J153" s="25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24">
        <v>44761.0</v>
      </c>
      <c r="B154" s="25">
        <v>86.419998</v>
      </c>
      <c r="C154" s="25">
        <v>88.519997</v>
      </c>
      <c r="D154" s="25">
        <v>86.25</v>
      </c>
      <c r="E154" s="25">
        <v>88.269997</v>
      </c>
      <c r="F154" s="25">
        <v>86.722458</v>
      </c>
      <c r="G154" s="25">
        <v>1.82489E7</v>
      </c>
      <c r="H154" s="25">
        <f t="shared" si="1"/>
        <v>19</v>
      </c>
      <c r="I154" s="25">
        <f t="shared" si="51"/>
        <v>0.00525594188</v>
      </c>
      <c r="J154" s="25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24">
        <v>44580.0</v>
      </c>
      <c r="B155" s="25">
        <v>73.75</v>
      </c>
      <c r="C155" s="25">
        <v>73.860001</v>
      </c>
      <c r="D155" s="25">
        <v>72.550003</v>
      </c>
      <c r="E155" s="25">
        <v>73.110001</v>
      </c>
      <c r="F155" s="25">
        <v>70.320381</v>
      </c>
      <c r="G155" s="25">
        <v>2.64316E7</v>
      </c>
      <c r="H155" s="25">
        <f t="shared" si="1"/>
        <v>19</v>
      </c>
      <c r="I155" s="25">
        <f t="shared" ref="I155:I156" si="52">(E155-$L$6)^2</f>
        <v>210.9029699</v>
      </c>
      <c r="J155" s="25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24">
        <v>44853.0</v>
      </c>
      <c r="B156" s="25">
        <v>101.25</v>
      </c>
      <c r="C156" s="25">
        <v>103.989998</v>
      </c>
      <c r="D156" s="25">
        <v>101.230003</v>
      </c>
      <c r="E156" s="25">
        <v>103.790001</v>
      </c>
      <c r="F156" s="25">
        <v>102.961136</v>
      </c>
      <c r="G156" s="25">
        <v>2.09217E7</v>
      </c>
      <c r="H156" s="25">
        <f t="shared" si="1"/>
        <v>19</v>
      </c>
      <c r="I156" s="25">
        <f t="shared" si="52"/>
        <v>261.0648466</v>
      </c>
      <c r="J156" s="25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24">
        <v>44700.0</v>
      </c>
      <c r="B157" s="25">
        <v>89.0</v>
      </c>
      <c r="C157" s="25">
        <v>92.300003</v>
      </c>
      <c r="D157" s="25">
        <v>89.0</v>
      </c>
      <c r="E157" s="25">
        <v>91.139999</v>
      </c>
      <c r="F157" s="25">
        <v>89.542152</v>
      </c>
      <c r="G157" s="25">
        <v>2.43874E7</v>
      </c>
      <c r="H157" s="25">
        <f t="shared" si="1"/>
        <v>19</v>
      </c>
      <c r="I157" s="25">
        <f>(E157-$L$7)^2</f>
        <v>7.336356088</v>
      </c>
      <c r="J157" s="25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24">
        <v>44792.0</v>
      </c>
      <c r="B158" s="25">
        <v>94.160004</v>
      </c>
      <c r="C158" s="25">
        <v>95.199997</v>
      </c>
      <c r="D158" s="25">
        <v>93.800003</v>
      </c>
      <c r="E158" s="25">
        <v>94.080002</v>
      </c>
      <c r="F158" s="25">
        <v>93.328682</v>
      </c>
      <c r="G158" s="25">
        <v>1.61286E7</v>
      </c>
      <c r="H158" s="25">
        <f t="shared" si="1"/>
        <v>19</v>
      </c>
      <c r="I158" s="25">
        <f>(E158-$L$8)^2</f>
        <v>10.53815935</v>
      </c>
      <c r="J158" s="25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24">
        <v>44824.0</v>
      </c>
      <c r="B159" s="25">
        <v>92.730003</v>
      </c>
      <c r="C159" s="25">
        <v>92.93</v>
      </c>
      <c r="D159" s="25">
        <v>91.639999</v>
      </c>
      <c r="E159" s="25">
        <v>92.440002</v>
      </c>
      <c r="F159" s="25">
        <v>91.701782</v>
      </c>
      <c r="G159" s="25">
        <v>1.47125E7</v>
      </c>
      <c r="H159" s="25">
        <f t="shared" si="1"/>
        <v>20</v>
      </c>
      <c r="I159" s="25">
        <f t="shared" ref="I159:I160" si="53">(E159-$L$5)^2</f>
        <v>17.99883064</v>
      </c>
      <c r="J159" s="25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24">
        <v>44915.0</v>
      </c>
      <c r="B160" s="25">
        <v>105.169998</v>
      </c>
      <c r="C160" s="25">
        <v>107.510002</v>
      </c>
      <c r="D160" s="25">
        <v>105.07</v>
      </c>
      <c r="E160" s="25">
        <v>106.690002</v>
      </c>
      <c r="F160" s="25">
        <v>106.690002</v>
      </c>
      <c r="G160" s="25">
        <v>1.468E7</v>
      </c>
      <c r="H160" s="25">
        <f t="shared" si="1"/>
        <v>20</v>
      </c>
      <c r="I160" s="25">
        <f t="shared" si="53"/>
        <v>341.9726626</v>
      </c>
      <c r="J160" s="25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24">
        <v>44671.0</v>
      </c>
      <c r="B161" s="25">
        <v>87.970001</v>
      </c>
      <c r="C161" s="25">
        <v>88.5</v>
      </c>
      <c r="D161" s="25">
        <v>87.300003</v>
      </c>
      <c r="E161" s="25">
        <v>87.959999</v>
      </c>
      <c r="F161" s="25">
        <v>85.541664</v>
      </c>
      <c r="G161" s="25">
        <v>2.06894E7</v>
      </c>
      <c r="H161" s="25">
        <f t="shared" si="1"/>
        <v>20</v>
      </c>
      <c r="I161" s="25">
        <f t="shared" ref="I161:I162" si="54">(E161-$L$6)^2</f>
        <v>0.1072557588</v>
      </c>
      <c r="J161" s="25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24">
        <v>44762.0</v>
      </c>
      <c r="B162" s="25">
        <v>87.580002</v>
      </c>
      <c r="C162" s="25">
        <v>89.650002</v>
      </c>
      <c r="D162" s="25">
        <v>87.25</v>
      </c>
      <c r="E162" s="25">
        <v>89.239998</v>
      </c>
      <c r="F162" s="25">
        <v>87.675453</v>
      </c>
      <c r="G162" s="25">
        <v>1.65844E7</v>
      </c>
      <c r="H162" s="25">
        <f t="shared" si="1"/>
        <v>20</v>
      </c>
      <c r="I162" s="25">
        <f t="shared" si="54"/>
        <v>2.584050624</v>
      </c>
      <c r="J162" s="25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24">
        <v>44581.0</v>
      </c>
      <c r="B163" s="25">
        <v>72.5</v>
      </c>
      <c r="C163" s="25">
        <v>74.370003</v>
      </c>
      <c r="D163" s="25">
        <v>72.260002</v>
      </c>
      <c r="E163" s="25">
        <v>73.269997</v>
      </c>
      <c r="F163" s="25">
        <v>70.474281</v>
      </c>
      <c r="G163" s="25">
        <v>2.67746E7</v>
      </c>
      <c r="H163" s="25">
        <f t="shared" si="1"/>
        <v>20</v>
      </c>
      <c r="I163" s="25">
        <f t="shared" ref="I163:I164" si="55">(E163-$L$7)^2</f>
        <v>229.8689943</v>
      </c>
      <c r="J163" s="25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24">
        <v>44854.0</v>
      </c>
      <c r="B164" s="25">
        <v>104.32</v>
      </c>
      <c r="C164" s="25">
        <v>105.0</v>
      </c>
      <c r="D164" s="25">
        <v>103.410004</v>
      </c>
      <c r="E164" s="25">
        <v>103.93</v>
      </c>
      <c r="F164" s="25">
        <v>103.100021</v>
      </c>
      <c r="G164" s="25">
        <v>1.7649E7</v>
      </c>
      <c r="H164" s="25">
        <f t="shared" si="1"/>
        <v>20</v>
      </c>
      <c r="I164" s="25">
        <f t="shared" si="55"/>
        <v>240.2057296</v>
      </c>
      <c r="J164" s="25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24">
        <v>44701.0</v>
      </c>
      <c r="B165" s="25">
        <v>91.93</v>
      </c>
      <c r="C165" s="25">
        <v>93.589996</v>
      </c>
      <c r="D165" s="25">
        <v>90.400002</v>
      </c>
      <c r="E165" s="25">
        <v>91.860001</v>
      </c>
      <c r="F165" s="25">
        <v>90.249527</v>
      </c>
      <c r="G165" s="25">
        <v>2.8795E7</v>
      </c>
      <c r="H165" s="25">
        <f t="shared" si="1"/>
        <v>20</v>
      </c>
      <c r="I165" s="25">
        <f>(E165-$L$8)^2</f>
        <v>1.053193424</v>
      </c>
      <c r="J165" s="25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24">
        <v>44641.0</v>
      </c>
      <c r="B166" s="25">
        <v>80.120003</v>
      </c>
      <c r="C166" s="25">
        <v>82.519997</v>
      </c>
      <c r="D166" s="25">
        <v>79.739998</v>
      </c>
      <c r="E166" s="25">
        <v>82.199997</v>
      </c>
      <c r="F166" s="25">
        <v>79.940025</v>
      </c>
      <c r="G166" s="25">
        <v>3.30893E7</v>
      </c>
      <c r="H166" s="25">
        <f t="shared" si="1"/>
        <v>21</v>
      </c>
      <c r="I166" s="25">
        <f t="shared" ref="I166:I167" si="56">(E166-$L$4)^2</f>
        <v>146.2891036</v>
      </c>
      <c r="J166" s="25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24">
        <v>44886.0</v>
      </c>
      <c r="B167" s="25">
        <v>109.989998</v>
      </c>
      <c r="C167" s="25">
        <v>111.199997</v>
      </c>
      <c r="D167" s="25">
        <v>107.480003</v>
      </c>
      <c r="E167" s="25">
        <v>110.970001</v>
      </c>
      <c r="F167" s="25">
        <v>110.970001</v>
      </c>
      <c r="G167" s="25">
        <v>2.0973E7</v>
      </c>
      <c r="H167" s="25">
        <f t="shared" si="1"/>
        <v>21</v>
      </c>
      <c r="I167" s="25">
        <f t="shared" si="56"/>
        <v>278.05565</v>
      </c>
      <c r="J167" s="25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24">
        <v>44733.0</v>
      </c>
      <c r="B168" s="25">
        <v>88.580002</v>
      </c>
      <c r="C168" s="25">
        <v>92.529999</v>
      </c>
      <c r="D168" s="25">
        <v>88.519997</v>
      </c>
      <c r="E168" s="25">
        <v>91.480003</v>
      </c>
      <c r="F168" s="25">
        <v>89.87619</v>
      </c>
      <c r="G168" s="25">
        <v>3.59515E7</v>
      </c>
      <c r="H168" s="25">
        <f t="shared" si="1"/>
        <v>21</v>
      </c>
      <c r="I168" s="25">
        <f>(E168-$L$5)^2</f>
        <v>10.77483169</v>
      </c>
      <c r="J168" s="25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24">
        <v>44825.0</v>
      </c>
      <c r="B169" s="25">
        <v>93.57</v>
      </c>
      <c r="C169" s="25">
        <v>93.879997</v>
      </c>
      <c r="D169" s="25">
        <v>90.870003</v>
      </c>
      <c r="E169" s="25">
        <v>90.949997</v>
      </c>
      <c r="F169" s="25">
        <v>90.223679</v>
      </c>
      <c r="G169" s="25">
        <v>1.73324E7</v>
      </c>
      <c r="H169" s="25">
        <f t="shared" si="1"/>
        <v>21</v>
      </c>
      <c r="I169" s="25">
        <f t="shared" ref="I169:I170" si="57">(E169-$L$6)^2</f>
        <v>11.005788</v>
      </c>
      <c r="J169" s="25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24">
        <v>44916.0</v>
      </c>
      <c r="B170" s="25">
        <v>108.290001</v>
      </c>
      <c r="C170" s="25">
        <v>108.589996</v>
      </c>
      <c r="D170" s="25">
        <v>107.160004</v>
      </c>
      <c r="E170" s="25">
        <v>108.059998</v>
      </c>
      <c r="F170" s="25">
        <v>108.059998</v>
      </c>
      <c r="G170" s="25">
        <v>1.35654E7</v>
      </c>
      <c r="H170" s="25">
        <f t="shared" si="1"/>
        <v>21</v>
      </c>
      <c r="I170" s="25">
        <f t="shared" si="57"/>
        <v>417.2826848</v>
      </c>
      <c r="J170" s="25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24">
        <v>44672.0</v>
      </c>
      <c r="B171" s="25">
        <v>88.949997</v>
      </c>
      <c r="C171" s="25">
        <v>89.800003</v>
      </c>
      <c r="D171" s="25">
        <v>86.790001</v>
      </c>
      <c r="E171" s="25">
        <v>87.029999</v>
      </c>
      <c r="F171" s="25">
        <v>84.637238</v>
      </c>
      <c r="G171" s="25">
        <v>2.90109E7</v>
      </c>
      <c r="H171" s="25">
        <f t="shared" si="1"/>
        <v>21</v>
      </c>
      <c r="I171" s="25">
        <f t="shared" ref="I171:I172" si="58">(E171-$L$7)^2</f>
        <v>1.964003642</v>
      </c>
      <c r="J171" s="25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24">
        <v>44763.0</v>
      </c>
      <c r="B172" s="25">
        <v>86.93</v>
      </c>
      <c r="C172" s="25">
        <v>87.800003</v>
      </c>
      <c r="D172" s="25">
        <v>85.209999</v>
      </c>
      <c r="E172" s="25">
        <v>87.75</v>
      </c>
      <c r="F172" s="25">
        <v>86.211578</v>
      </c>
      <c r="G172" s="25">
        <v>2.13757E7</v>
      </c>
      <c r="H172" s="25">
        <f t="shared" si="1"/>
        <v>21</v>
      </c>
      <c r="I172" s="25">
        <f t="shared" si="58"/>
        <v>0.4643443139</v>
      </c>
      <c r="J172" s="25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24">
        <v>44582.0</v>
      </c>
      <c r="B173" s="25">
        <v>73.18</v>
      </c>
      <c r="C173" s="25">
        <v>73.18</v>
      </c>
      <c r="D173" s="25">
        <v>71.040001</v>
      </c>
      <c r="E173" s="25">
        <v>72.169998</v>
      </c>
      <c r="F173" s="25">
        <v>69.416245</v>
      </c>
      <c r="G173" s="25">
        <v>3.59952E7</v>
      </c>
      <c r="H173" s="25">
        <f t="shared" si="1"/>
        <v>21</v>
      </c>
      <c r="I173" s="25">
        <f t="shared" ref="I173:I174" si="59">(E173-$L$8)^2</f>
        <v>348.3355967</v>
      </c>
      <c r="J173" s="25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24">
        <v>44855.0</v>
      </c>
      <c r="B174" s="25">
        <v>104.449997</v>
      </c>
      <c r="C174" s="25">
        <v>106.400002</v>
      </c>
      <c r="D174" s="25">
        <v>103.910004</v>
      </c>
      <c r="E174" s="25">
        <v>105.860001</v>
      </c>
      <c r="F174" s="25">
        <v>105.01461</v>
      </c>
      <c r="G174" s="25">
        <v>2.28141E7</v>
      </c>
      <c r="H174" s="25">
        <f t="shared" si="1"/>
        <v>21</v>
      </c>
      <c r="I174" s="25">
        <f t="shared" si="59"/>
        <v>225.7882529</v>
      </c>
      <c r="J174" s="25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24">
        <v>44795.0</v>
      </c>
      <c r="B175" s="25">
        <v>93.419998</v>
      </c>
      <c r="C175" s="25">
        <v>94.489998</v>
      </c>
      <c r="D175" s="25">
        <v>91.860001</v>
      </c>
      <c r="E175" s="25">
        <v>94.010002</v>
      </c>
      <c r="F175" s="25">
        <v>93.259239</v>
      </c>
      <c r="G175" s="25">
        <v>1.60199E7</v>
      </c>
      <c r="H175" s="25">
        <f t="shared" si="1"/>
        <v>22</v>
      </c>
      <c r="I175" s="25">
        <f>(E175-$L$4)^2</f>
        <v>0.0812240025</v>
      </c>
      <c r="J175" s="25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24">
        <v>44614.0</v>
      </c>
      <c r="B176" s="25">
        <v>79.669998</v>
      </c>
      <c r="C176" s="25">
        <v>79.790001</v>
      </c>
      <c r="D176" s="25">
        <v>75.309998</v>
      </c>
      <c r="E176" s="25">
        <v>76.459999</v>
      </c>
      <c r="F176" s="25">
        <v>74.357849</v>
      </c>
      <c r="G176" s="25">
        <v>3.59478E7</v>
      </c>
      <c r="H176" s="25">
        <f t="shared" si="1"/>
        <v>22</v>
      </c>
      <c r="I176" s="25">
        <f t="shared" ref="I176:I178" si="60">(E176-$L$5)^2</f>
        <v>137.7689092</v>
      </c>
      <c r="J176" s="25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24">
        <v>44642.0</v>
      </c>
      <c r="B177" s="25">
        <v>81.629997</v>
      </c>
      <c r="C177" s="25">
        <v>82.199997</v>
      </c>
      <c r="D177" s="25">
        <v>80.790001</v>
      </c>
      <c r="E177" s="25">
        <v>81.839996</v>
      </c>
      <c r="F177" s="25">
        <v>79.589928</v>
      </c>
      <c r="G177" s="25">
        <v>2.31322E7</v>
      </c>
      <c r="H177" s="25">
        <f t="shared" si="1"/>
        <v>22</v>
      </c>
      <c r="I177" s="25">
        <f t="shared" si="60"/>
        <v>40.41784598</v>
      </c>
      <c r="J177" s="25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24">
        <v>44887.0</v>
      </c>
      <c r="B178" s="25">
        <v>112.209999</v>
      </c>
      <c r="C178" s="25">
        <v>114.470001</v>
      </c>
      <c r="D178" s="25">
        <v>111.43</v>
      </c>
      <c r="E178" s="25">
        <v>114.18</v>
      </c>
      <c r="F178" s="25">
        <v>114.18</v>
      </c>
      <c r="G178" s="25">
        <v>1.77191E7</v>
      </c>
      <c r="H178" s="25">
        <f t="shared" si="1"/>
        <v>22</v>
      </c>
      <c r="I178" s="25">
        <f t="shared" si="60"/>
        <v>675.0903517</v>
      </c>
      <c r="J178" s="25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24">
        <v>44734.0</v>
      </c>
      <c r="B179" s="25">
        <v>87.540001</v>
      </c>
      <c r="C179" s="25">
        <v>89.760002</v>
      </c>
      <c r="D179" s="25">
        <v>87.529999</v>
      </c>
      <c r="E179" s="25">
        <v>87.860001</v>
      </c>
      <c r="F179" s="25">
        <v>86.319649</v>
      </c>
      <c r="G179" s="25">
        <v>2.97272E7</v>
      </c>
      <c r="H179" s="25">
        <f t="shared" si="1"/>
        <v>22</v>
      </c>
      <c r="I179" s="25">
        <f>(E179-$L$6)^2</f>
        <v>0.05175681875</v>
      </c>
      <c r="J179" s="25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24">
        <v>44826.0</v>
      </c>
      <c r="B180" s="25">
        <v>92.199997</v>
      </c>
      <c r="C180" s="25">
        <v>92.660004</v>
      </c>
      <c r="D180" s="25">
        <v>90.519997</v>
      </c>
      <c r="E180" s="25">
        <v>90.57</v>
      </c>
      <c r="F180" s="25">
        <v>89.84671</v>
      </c>
      <c r="G180" s="25">
        <v>1.61394E7</v>
      </c>
      <c r="H180" s="25">
        <f t="shared" si="1"/>
        <v>22</v>
      </c>
      <c r="I180" s="25">
        <f t="shared" ref="I180:I181" si="61">(E180-$L$7)^2</f>
        <v>4.573489588</v>
      </c>
      <c r="J180" s="25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24">
        <v>44917.0</v>
      </c>
      <c r="B181" s="25">
        <v>107.889999</v>
      </c>
      <c r="C181" s="25">
        <v>108.190002</v>
      </c>
      <c r="D181" s="25">
        <v>104.099998</v>
      </c>
      <c r="E181" s="25">
        <v>105.879997</v>
      </c>
      <c r="F181" s="25">
        <v>105.879997</v>
      </c>
      <c r="G181" s="25">
        <v>1.3213E7</v>
      </c>
      <c r="H181" s="25">
        <f t="shared" si="1"/>
        <v>22</v>
      </c>
      <c r="I181" s="25">
        <f t="shared" si="61"/>
        <v>304.4525552</v>
      </c>
      <c r="J181" s="25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24">
        <v>44673.0</v>
      </c>
      <c r="B182" s="25">
        <v>86.660004</v>
      </c>
      <c r="C182" s="25">
        <v>88.120003</v>
      </c>
      <c r="D182" s="25">
        <v>85.0</v>
      </c>
      <c r="E182" s="25">
        <v>85.129997</v>
      </c>
      <c r="F182" s="25">
        <v>82.789474</v>
      </c>
      <c r="G182" s="25">
        <v>2.35916E7</v>
      </c>
      <c r="H182" s="25">
        <f t="shared" si="1"/>
        <v>22</v>
      </c>
      <c r="I182" s="25">
        <f t="shared" ref="I182:I183" si="62">(E182-$L$8)^2</f>
        <v>32.53278545</v>
      </c>
      <c r="J182" s="25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24">
        <v>44764.0</v>
      </c>
      <c r="B183" s="25">
        <v>87.550003</v>
      </c>
      <c r="C183" s="25">
        <v>88.470001</v>
      </c>
      <c r="D183" s="25">
        <v>86.629997</v>
      </c>
      <c r="E183" s="25">
        <v>87.080002</v>
      </c>
      <c r="F183" s="25">
        <v>85.553322</v>
      </c>
      <c r="G183" s="25">
        <v>1.54795E7</v>
      </c>
      <c r="H183" s="25">
        <f t="shared" si="1"/>
        <v>22</v>
      </c>
      <c r="I183" s="25">
        <f t="shared" si="62"/>
        <v>14.0906156</v>
      </c>
      <c r="J183" s="25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24">
        <v>44704.0</v>
      </c>
      <c r="B184" s="25">
        <v>92.660004</v>
      </c>
      <c r="C184" s="25">
        <v>94.769997</v>
      </c>
      <c r="D184" s="25">
        <v>92.550003</v>
      </c>
      <c r="E184" s="25">
        <v>93.889999</v>
      </c>
      <c r="F184" s="25">
        <v>92.243935</v>
      </c>
      <c r="G184" s="25">
        <v>2.72393E7</v>
      </c>
      <c r="H184" s="25">
        <f t="shared" si="1"/>
        <v>23</v>
      </c>
      <c r="I184" s="25">
        <f>(E184-$L$4)^2</f>
        <v>0.1640260125</v>
      </c>
      <c r="J184" s="25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24">
        <v>44796.0</v>
      </c>
      <c r="B185" s="25">
        <v>95.550003</v>
      </c>
      <c r="C185" s="25">
        <v>98.410004</v>
      </c>
      <c r="D185" s="25">
        <v>95.449997</v>
      </c>
      <c r="E185" s="25">
        <v>98.0</v>
      </c>
      <c r="F185" s="25">
        <v>97.217377</v>
      </c>
      <c r="G185" s="25">
        <v>2.37647E7</v>
      </c>
      <c r="H185" s="25">
        <f t="shared" si="1"/>
        <v>23</v>
      </c>
      <c r="I185" s="25">
        <f>(E185-$L$5)^2</f>
        <v>96.0890234</v>
      </c>
      <c r="J185" s="25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24">
        <v>44615.0</v>
      </c>
      <c r="B186" s="25">
        <v>76.459999</v>
      </c>
      <c r="C186" s="25">
        <v>77.470001</v>
      </c>
      <c r="D186" s="25">
        <v>76.129997</v>
      </c>
      <c r="E186" s="25">
        <v>76.769997</v>
      </c>
      <c r="F186" s="25">
        <v>74.659317</v>
      </c>
      <c r="G186" s="25">
        <v>2.5385E7</v>
      </c>
      <c r="H186" s="25">
        <f t="shared" si="1"/>
        <v>23</v>
      </c>
      <c r="I186" s="25">
        <f t="shared" ref="I186:I188" si="63">(E186-$L$6)^2</f>
        <v>117.993966</v>
      </c>
      <c r="J186" s="25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24">
        <v>44643.0</v>
      </c>
      <c r="B187" s="25">
        <v>83.339996</v>
      </c>
      <c r="C187" s="25">
        <v>84.269997</v>
      </c>
      <c r="D187" s="25">
        <v>83.050003</v>
      </c>
      <c r="E187" s="25">
        <v>83.129997</v>
      </c>
      <c r="F187" s="25">
        <v>80.84446</v>
      </c>
      <c r="G187" s="25">
        <v>2.77163E7</v>
      </c>
      <c r="H187" s="25">
        <f t="shared" si="1"/>
        <v>23</v>
      </c>
      <c r="I187" s="25">
        <f t="shared" si="63"/>
        <v>20.27253101</v>
      </c>
      <c r="J187" s="25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24">
        <v>44888.0</v>
      </c>
      <c r="B188" s="25">
        <v>112.32</v>
      </c>
      <c r="C188" s="25">
        <v>113.949997</v>
      </c>
      <c r="D188" s="25">
        <v>112.099998</v>
      </c>
      <c r="E188" s="25">
        <v>113.610001</v>
      </c>
      <c r="F188" s="25">
        <v>113.610001</v>
      </c>
      <c r="G188" s="25">
        <v>1.15467E7</v>
      </c>
      <c r="H188" s="25">
        <f t="shared" si="1"/>
        <v>23</v>
      </c>
      <c r="I188" s="25">
        <f t="shared" si="63"/>
        <v>674.8305712</v>
      </c>
      <c r="J188" s="25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24">
        <v>44735.0</v>
      </c>
      <c r="B189" s="25">
        <v>88.660004</v>
      </c>
      <c r="C189" s="25">
        <v>89.050003</v>
      </c>
      <c r="D189" s="25">
        <v>83.519997</v>
      </c>
      <c r="E189" s="25">
        <v>85.209999</v>
      </c>
      <c r="F189" s="25">
        <v>83.71611</v>
      </c>
      <c r="G189" s="25">
        <v>3.57572E7</v>
      </c>
      <c r="H189" s="25">
        <f t="shared" si="1"/>
        <v>23</v>
      </c>
      <c r="I189" s="25">
        <f>(E189-$L$7)^2</f>
        <v>10.37760572</v>
      </c>
      <c r="J189" s="25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24">
        <v>44827.0</v>
      </c>
      <c r="B190" s="25">
        <v>87.5</v>
      </c>
      <c r="C190" s="25">
        <v>87.5</v>
      </c>
      <c r="D190" s="25">
        <v>84.849998</v>
      </c>
      <c r="E190" s="25">
        <v>85.75</v>
      </c>
      <c r="F190" s="25">
        <v>85.065208</v>
      </c>
      <c r="G190" s="25">
        <v>2.77388E7</v>
      </c>
      <c r="H190" s="25">
        <f t="shared" si="1"/>
        <v>23</v>
      </c>
      <c r="I190" s="25">
        <f t="shared" ref="I190:I191" si="64">(E190-$L$8)^2</f>
        <v>25.84450262</v>
      </c>
      <c r="J190" s="25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24">
        <v>44918.0</v>
      </c>
      <c r="B191" s="25">
        <v>106.949997</v>
      </c>
      <c r="C191" s="25">
        <v>108.739998</v>
      </c>
      <c r="D191" s="25">
        <v>106.900002</v>
      </c>
      <c r="E191" s="25">
        <v>108.68</v>
      </c>
      <c r="F191" s="25">
        <v>108.68</v>
      </c>
      <c r="G191" s="25">
        <v>1.15394E7</v>
      </c>
      <c r="H191" s="25">
        <f t="shared" si="1"/>
        <v>23</v>
      </c>
      <c r="I191" s="25">
        <f t="shared" si="64"/>
        <v>318.4886792</v>
      </c>
      <c r="J191" s="25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24">
        <v>44585.0</v>
      </c>
      <c r="B192" s="25">
        <v>70.879997</v>
      </c>
      <c r="C192" s="25">
        <v>73.080002</v>
      </c>
      <c r="D192" s="25">
        <v>69.809998</v>
      </c>
      <c r="E192" s="25">
        <v>72.790001</v>
      </c>
      <c r="F192" s="25">
        <v>70.012596</v>
      </c>
      <c r="G192" s="25">
        <v>4.1507E7</v>
      </c>
      <c r="H192" s="25">
        <f t="shared" si="1"/>
        <v>24</v>
      </c>
      <c r="I192" s="25">
        <f t="shared" ref="I192:I193" si="65">(E192-$L$4)^2</f>
        <v>462.4649927</v>
      </c>
      <c r="J192" s="25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24">
        <v>44858.0</v>
      </c>
      <c r="B193" s="25">
        <v>105.660004</v>
      </c>
      <c r="C193" s="25">
        <v>107.68</v>
      </c>
      <c r="D193" s="25">
        <v>105.120003</v>
      </c>
      <c r="E193" s="25">
        <v>106.599998</v>
      </c>
      <c r="F193" s="25">
        <v>105.748695</v>
      </c>
      <c r="G193" s="25">
        <v>1.70242E7</v>
      </c>
      <c r="H193" s="25">
        <f t="shared" si="1"/>
        <v>24</v>
      </c>
      <c r="I193" s="25">
        <f t="shared" si="65"/>
        <v>151.4129696</v>
      </c>
      <c r="J193" s="25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24">
        <v>44705.0</v>
      </c>
      <c r="B194" s="25">
        <v>92.82</v>
      </c>
      <c r="C194" s="25">
        <v>94.790001</v>
      </c>
      <c r="D194" s="25">
        <v>92.32</v>
      </c>
      <c r="E194" s="25">
        <v>94.400002</v>
      </c>
      <c r="F194" s="25">
        <v>92.744995</v>
      </c>
      <c r="G194" s="25">
        <v>2.42933E7</v>
      </c>
      <c r="H194" s="25">
        <f t="shared" si="1"/>
        <v>24</v>
      </c>
      <c r="I194" s="25">
        <f>(E194-$L$5)^2</f>
        <v>38.47104191</v>
      </c>
      <c r="J194" s="25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24">
        <v>44797.0</v>
      </c>
      <c r="B195" s="25">
        <v>98.010002</v>
      </c>
      <c r="C195" s="25">
        <v>98.970001</v>
      </c>
      <c r="D195" s="25">
        <v>97.360001</v>
      </c>
      <c r="E195" s="25">
        <v>98.580002</v>
      </c>
      <c r="F195" s="25">
        <v>97.792747</v>
      </c>
      <c r="G195" s="25">
        <v>1.70503E7</v>
      </c>
      <c r="H195" s="25">
        <f t="shared" si="1"/>
        <v>24</v>
      </c>
      <c r="I195" s="25">
        <f>(E195-$L$6)^2</f>
        <v>119.8478055</v>
      </c>
      <c r="J195" s="25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24">
        <v>44616.0</v>
      </c>
      <c r="B196" s="25">
        <v>79.0</v>
      </c>
      <c r="C196" s="25">
        <v>79.029999</v>
      </c>
      <c r="D196" s="25">
        <v>74.029999</v>
      </c>
      <c r="E196" s="25">
        <v>75.800003</v>
      </c>
      <c r="F196" s="25">
        <v>73.716003</v>
      </c>
      <c r="G196" s="25">
        <v>4.61999E7</v>
      </c>
      <c r="H196" s="25">
        <f t="shared" si="1"/>
        <v>24</v>
      </c>
      <c r="I196" s="25">
        <f t="shared" ref="I196:I197" si="66">(E196-$L$7)^2</f>
        <v>159.5529011</v>
      </c>
      <c r="J196" s="25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24">
        <v>44644.0</v>
      </c>
      <c r="B197" s="25">
        <v>83.459999</v>
      </c>
      <c r="C197" s="25">
        <v>84.650002</v>
      </c>
      <c r="D197" s="25">
        <v>82.75</v>
      </c>
      <c r="E197" s="25">
        <v>83.379997</v>
      </c>
      <c r="F197" s="25">
        <v>81.087593</v>
      </c>
      <c r="G197" s="25">
        <v>1.98716E7</v>
      </c>
      <c r="H197" s="25">
        <f t="shared" si="1"/>
        <v>24</v>
      </c>
      <c r="I197" s="25">
        <f t="shared" si="66"/>
        <v>25.51695659</v>
      </c>
      <c r="J197" s="25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24">
        <v>44736.0</v>
      </c>
      <c r="B198" s="25">
        <v>86.949997</v>
      </c>
      <c r="C198" s="25">
        <v>88.400002</v>
      </c>
      <c r="D198" s="25">
        <v>85.809998</v>
      </c>
      <c r="E198" s="25">
        <v>86.900002</v>
      </c>
      <c r="F198" s="25">
        <v>85.376488</v>
      </c>
      <c r="G198" s="25">
        <v>2.6639E7</v>
      </c>
      <c r="H198" s="25">
        <f t="shared" si="1"/>
        <v>24</v>
      </c>
      <c r="I198" s="25">
        <f>(E198-$L$8)^2</f>
        <v>15.47436448</v>
      </c>
      <c r="J198" s="25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24">
        <v>44676.0</v>
      </c>
      <c r="B199" s="25">
        <v>82.370003</v>
      </c>
      <c r="C199" s="25">
        <v>82.660004</v>
      </c>
      <c r="D199" s="25">
        <v>79.290001</v>
      </c>
      <c r="E199" s="25">
        <v>82.260002</v>
      </c>
      <c r="F199" s="25">
        <v>79.99839</v>
      </c>
      <c r="G199" s="25">
        <v>3.76983E7</v>
      </c>
      <c r="H199" s="25">
        <f t="shared" si="1"/>
        <v>25</v>
      </c>
      <c r="I199" s="25">
        <f t="shared" ref="I199:I200" si="67">(E199-$L$4)^2</f>
        <v>144.8411829</v>
      </c>
      <c r="J199" s="25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24">
        <v>44767.0</v>
      </c>
      <c r="B200" s="25">
        <v>88.160004</v>
      </c>
      <c r="C200" s="25">
        <v>90.129997</v>
      </c>
      <c r="D200" s="25">
        <v>87.419998</v>
      </c>
      <c r="E200" s="25">
        <v>89.980003</v>
      </c>
      <c r="F200" s="25">
        <v>88.402489</v>
      </c>
      <c r="G200" s="25">
        <v>1.75364E7</v>
      </c>
      <c r="H200" s="25">
        <f t="shared" si="1"/>
        <v>25</v>
      </c>
      <c r="I200" s="25">
        <f t="shared" si="67"/>
        <v>18.61920127</v>
      </c>
      <c r="J200" s="25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24">
        <v>44586.0</v>
      </c>
      <c r="B201" s="25">
        <v>72.589996</v>
      </c>
      <c r="C201" s="25">
        <v>75.239998</v>
      </c>
      <c r="D201" s="25">
        <v>71.389999</v>
      </c>
      <c r="E201" s="25">
        <v>74.93</v>
      </c>
      <c r="F201" s="25">
        <v>72.070938</v>
      </c>
      <c r="G201" s="25">
        <v>3.92784E7</v>
      </c>
      <c r="H201" s="25">
        <f t="shared" si="1"/>
        <v>25</v>
      </c>
      <c r="I201" s="25">
        <f t="shared" ref="I201:I202" si="68">(E201-$L$5)^2</f>
        <v>176.026533</v>
      </c>
      <c r="J201" s="25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24">
        <v>44859.0</v>
      </c>
      <c r="B202" s="25">
        <v>106.410004</v>
      </c>
      <c r="C202" s="25">
        <v>107.330002</v>
      </c>
      <c r="D202" s="25">
        <v>105.07</v>
      </c>
      <c r="E202" s="25">
        <v>105.879997</v>
      </c>
      <c r="F202" s="25">
        <v>105.034447</v>
      </c>
      <c r="G202" s="25">
        <v>1.57198E7</v>
      </c>
      <c r="H202" s="25">
        <f t="shared" si="1"/>
        <v>25</v>
      </c>
      <c r="I202" s="25">
        <f t="shared" si="68"/>
        <v>312.6707311</v>
      </c>
      <c r="J202" s="25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24">
        <v>44706.0</v>
      </c>
      <c r="B203" s="25">
        <v>94.580002</v>
      </c>
      <c r="C203" s="25">
        <v>96.529999</v>
      </c>
      <c r="D203" s="25">
        <v>94.470001</v>
      </c>
      <c r="E203" s="25">
        <v>96.300003</v>
      </c>
      <c r="F203" s="25">
        <v>94.611679</v>
      </c>
      <c r="G203" s="25">
        <v>2.99478E7</v>
      </c>
      <c r="H203" s="25">
        <f t="shared" si="1"/>
        <v>25</v>
      </c>
      <c r="I203" s="25">
        <f>(E203-$L$6)^2</f>
        <v>75.12561259</v>
      </c>
      <c r="J203" s="25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24">
        <v>44798.0</v>
      </c>
      <c r="B204" s="25">
        <v>98.919998</v>
      </c>
      <c r="C204" s="25">
        <v>99.860001</v>
      </c>
      <c r="D204" s="25">
        <v>98.099998</v>
      </c>
      <c r="E204" s="25">
        <v>99.089996</v>
      </c>
      <c r="F204" s="25">
        <v>98.298668</v>
      </c>
      <c r="G204" s="25">
        <v>1.53057E7</v>
      </c>
      <c r="H204" s="25">
        <f t="shared" si="1"/>
        <v>25</v>
      </c>
      <c r="I204" s="25">
        <f>(E204-$L$7)^2</f>
        <v>113.6050688</v>
      </c>
      <c r="J204" s="25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24">
        <v>44617.0</v>
      </c>
      <c r="B205" s="25">
        <v>76.690002</v>
      </c>
      <c r="C205" s="25">
        <v>77.989998</v>
      </c>
      <c r="D205" s="25">
        <v>76.260002</v>
      </c>
      <c r="E205" s="25">
        <v>77.839996</v>
      </c>
      <c r="F205" s="25">
        <v>75.699898</v>
      </c>
      <c r="G205" s="25">
        <v>2.83103E7</v>
      </c>
      <c r="H205" s="25">
        <f t="shared" si="1"/>
        <v>25</v>
      </c>
      <c r="I205" s="25">
        <f t="shared" ref="I205:I207" si="69">(E205-$L$8)^2</f>
        <v>168.8376138</v>
      </c>
      <c r="J205" s="25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24">
        <v>44645.0</v>
      </c>
      <c r="B206" s="25">
        <v>82.919998</v>
      </c>
      <c r="C206" s="25">
        <v>85.489998</v>
      </c>
      <c r="D206" s="25">
        <v>82.790001</v>
      </c>
      <c r="E206" s="25">
        <v>85.199997</v>
      </c>
      <c r="F206" s="25">
        <v>82.857552</v>
      </c>
      <c r="G206" s="25">
        <v>2.23983E7</v>
      </c>
      <c r="H206" s="25">
        <f t="shared" si="1"/>
        <v>25</v>
      </c>
      <c r="I206" s="25">
        <f t="shared" si="69"/>
        <v>31.73916019</v>
      </c>
      <c r="J206" s="25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24">
        <v>44890.0</v>
      </c>
      <c r="B207" s="25">
        <v>113.879997</v>
      </c>
      <c r="C207" s="25">
        <v>114.610001</v>
      </c>
      <c r="D207" s="25">
        <v>113.059998</v>
      </c>
      <c r="E207" s="25">
        <v>113.209999</v>
      </c>
      <c r="F207" s="25">
        <v>113.209999</v>
      </c>
      <c r="G207" s="25">
        <v>7136000.0</v>
      </c>
      <c r="H207" s="25">
        <f t="shared" si="1"/>
        <v>25</v>
      </c>
      <c r="I207" s="25">
        <f t="shared" si="69"/>
        <v>500.6965697</v>
      </c>
      <c r="J207" s="25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24">
        <v>44830.0</v>
      </c>
      <c r="B208" s="25">
        <v>84.900002</v>
      </c>
      <c r="C208" s="25">
        <v>86.220001</v>
      </c>
      <c r="D208" s="25">
        <v>83.889999</v>
      </c>
      <c r="E208" s="25">
        <v>83.980003</v>
      </c>
      <c r="F208" s="25">
        <v>83.309341</v>
      </c>
      <c r="G208" s="25">
        <v>2.20434E7</v>
      </c>
      <c r="H208" s="25">
        <f t="shared" si="1"/>
        <v>26</v>
      </c>
      <c r="I208" s="25">
        <f>(E208-$L$4)^2</f>
        <v>106.3991683</v>
      </c>
      <c r="J208" s="25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24">
        <v>44677.0</v>
      </c>
      <c r="B209" s="25">
        <v>82.730003</v>
      </c>
      <c r="C209" s="25">
        <v>84.720001</v>
      </c>
      <c r="D209" s="25">
        <v>82.18</v>
      </c>
      <c r="E209" s="25">
        <v>82.290001</v>
      </c>
      <c r="F209" s="25">
        <v>80.027565</v>
      </c>
      <c r="G209" s="25">
        <v>2.89415E7</v>
      </c>
      <c r="H209" s="25">
        <f t="shared" si="1"/>
        <v>26</v>
      </c>
      <c r="I209" s="25">
        <f t="shared" ref="I209:I210" si="70">(E209-$L$5)^2</f>
        <v>34.8985341</v>
      </c>
      <c r="J209" s="25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24">
        <v>44768.0</v>
      </c>
      <c r="B210" s="25">
        <v>91.129997</v>
      </c>
      <c r="C210" s="25">
        <v>91.279999</v>
      </c>
      <c r="D210" s="25">
        <v>89.0</v>
      </c>
      <c r="E210" s="25">
        <v>89.629997</v>
      </c>
      <c r="F210" s="25">
        <v>88.058617</v>
      </c>
      <c r="G210" s="25">
        <v>1.51412E7</v>
      </c>
      <c r="H210" s="25">
        <f t="shared" si="1"/>
        <v>26</v>
      </c>
      <c r="I210" s="25">
        <f t="shared" si="70"/>
        <v>2.052050162</v>
      </c>
      <c r="J210" s="25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24">
        <v>44587.0</v>
      </c>
      <c r="B211" s="25">
        <v>75.43</v>
      </c>
      <c r="C211" s="25">
        <v>76.0</v>
      </c>
      <c r="D211" s="25">
        <v>73.489998</v>
      </c>
      <c r="E211" s="25">
        <v>74.169998</v>
      </c>
      <c r="F211" s="25">
        <v>71.339935</v>
      </c>
      <c r="G211" s="25">
        <v>3.52524E7</v>
      </c>
      <c r="H211" s="25">
        <f t="shared" si="1"/>
        <v>26</v>
      </c>
      <c r="I211" s="25">
        <f t="shared" ref="I211:I212" si="71">(E211-$L$6)^2</f>
        <v>181.2389534</v>
      </c>
      <c r="J211" s="25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24">
        <v>44860.0</v>
      </c>
      <c r="B212" s="25">
        <v>106.260002</v>
      </c>
      <c r="C212" s="25">
        <v>107.830002</v>
      </c>
      <c r="D212" s="25">
        <v>106.0</v>
      </c>
      <c r="E212" s="25">
        <v>107.139999</v>
      </c>
      <c r="F212" s="25">
        <v>106.284386</v>
      </c>
      <c r="G212" s="25">
        <v>1.73838E7</v>
      </c>
      <c r="H212" s="25">
        <f t="shared" si="1"/>
        <v>26</v>
      </c>
      <c r="I212" s="25">
        <f t="shared" si="71"/>
        <v>380.542527</v>
      </c>
      <c r="J212" s="25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24">
        <v>44707.0</v>
      </c>
      <c r="B213" s="25">
        <v>96.599998</v>
      </c>
      <c r="C213" s="25">
        <v>97.43</v>
      </c>
      <c r="D213" s="25">
        <v>96.199997</v>
      </c>
      <c r="E213" s="25">
        <v>96.639999</v>
      </c>
      <c r="F213" s="25">
        <v>94.945724</v>
      </c>
      <c r="G213" s="25">
        <v>2.43148E7</v>
      </c>
      <c r="H213" s="25">
        <f t="shared" si="1"/>
        <v>26</v>
      </c>
      <c r="I213" s="25">
        <f>(E213-$L$7)^2</f>
        <v>67.38063552</v>
      </c>
      <c r="J213" s="25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24">
        <v>44799.0</v>
      </c>
      <c r="B214" s="25">
        <v>98.769997</v>
      </c>
      <c r="C214" s="25">
        <v>99.910004</v>
      </c>
      <c r="D214" s="25">
        <v>97.419998</v>
      </c>
      <c r="E214" s="25">
        <v>97.870003</v>
      </c>
      <c r="F214" s="25">
        <v>97.088417</v>
      </c>
      <c r="G214" s="25">
        <v>1.55314E7</v>
      </c>
      <c r="H214" s="25">
        <f t="shared" si="1"/>
        <v>26</v>
      </c>
      <c r="I214" s="25">
        <f>(E214-$L$8)^2</f>
        <v>49.50887211</v>
      </c>
      <c r="J214" s="25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24">
        <v>44739.0</v>
      </c>
      <c r="B215" s="25">
        <v>87.809998</v>
      </c>
      <c r="C215" s="25">
        <v>90.040001</v>
      </c>
      <c r="D215" s="25">
        <v>87.669998</v>
      </c>
      <c r="E215" s="25">
        <v>89.029999</v>
      </c>
      <c r="F215" s="25">
        <v>87.469139</v>
      </c>
      <c r="G215" s="25">
        <v>2.54787E7</v>
      </c>
      <c r="H215" s="25">
        <f t="shared" si="1"/>
        <v>27</v>
      </c>
      <c r="I215" s="25">
        <f>(E215-$L$4)^2</f>
        <v>27.72023816</v>
      </c>
      <c r="J215" s="25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24">
        <v>44831.0</v>
      </c>
      <c r="B216" s="25">
        <v>85.610001</v>
      </c>
      <c r="C216" s="25">
        <v>86.959999</v>
      </c>
      <c r="D216" s="25">
        <v>84.809998</v>
      </c>
      <c r="E216" s="25">
        <v>85.739998</v>
      </c>
      <c r="F216" s="25">
        <v>85.055283</v>
      </c>
      <c r="G216" s="25">
        <v>1.73073E7</v>
      </c>
      <c r="H216" s="25">
        <f t="shared" si="1"/>
        <v>27</v>
      </c>
      <c r="I216" s="25">
        <f t="shared" ref="I216:I217" si="72">(E216-$L$5)^2</f>
        <v>6.039311779</v>
      </c>
      <c r="J216" s="25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24">
        <v>44922.0</v>
      </c>
      <c r="B217" s="25">
        <v>109.269997</v>
      </c>
      <c r="C217" s="25">
        <v>110.470001</v>
      </c>
      <c r="D217" s="25">
        <v>108.830002</v>
      </c>
      <c r="E217" s="25">
        <v>110.190002</v>
      </c>
      <c r="F217" s="25">
        <v>110.190002</v>
      </c>
      <c r="G217" s="25">
        <v>1.19621E7</v>
      </c>
      <c r="H217" s="25">
        <f t="shared" si="1"/>
        <v>27</v>
      </c>
      <c r="I217" s="25">
        <f t="shared" si="72"/>
        <v>483.6701827</v>
      </c>
      <c r="J217" s="25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24">
        <v>44678.0</v>
      </c>
      <c r="B218" s="25">
        <v>83.389999</v>
      </c>
      <c r="C218" s="25">
        <v>85.480003</v>
      </c>
      <c r="D218" s="25">
        <v>82.279999</v>
      </c>
      <c r="E218" s="25">
        <v>84.639999</v>
      </c>
      <c r="F218" s="25">
        <v>82.312943</v>
      </c>
      <c r="G218" s="25">
        <v>3.2773E7</v>
      </c>
      <c r="H218" s="25">
        <f t="shared" si="1"/>
        <v>27</v>
      </c>
      <c r="I218" s="25">
        <f t="shared" ref="I218:I219" si="73">(E218-$L$6)^2</f>
        <v>8.955060739</v>
      </c>
      <c r="J218" s="25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24">
        <v>44769.0</v>
      </c>
      <c r="B219" s="25">
        <v>90.279999</v>
      </c>
      <c r="C219" s="25">
        <v>92.0</v>
      </c>
      <c r="D219" s="25">
        <v>89.400002</v>
      </c>
      <c r="E219" s="25">
        <v>91.57</v>
      </c>
      <c r="F219" s="25">
        <v>89.964615</v>
      </c>
      <c r="G219" s="25">
        <v>1.8047E7</v>
      </c>
      <c r="H219" s="25">
        <f t="shared" si="1"/>
        <v>27</v>
      </c>
      <c r="I219" s="25">
        <f t="shared" si="73"/>
        <v>15.50390822</v>
      </c>
      <c r="J219" s="25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24">
        <v>44588.0</v>
      </c>
      <c r="B220" s="25">
        <v>75.459999</v>
      </c>
      <c r="C220" s="25">
        <v>76.010002</v>
      </c>
      <c r="D220" s="25">
        <v>73.989998</v>
      </c>
      <c r="E220" s="25">
        <v>75.120003</v>
      </c>
      <c r="F220" s="25">
        <v>72.253685</v>
      </c>
      <c r="G220" s="25">
        <v>2.91747E7</v>
      </c>
      <c r="H220" s="25">
        <f t="shared" si="1"/>
        <v>27</v>
      </c>
      <c r="I220" s="25">
        <f t="shared" ref="I220:I221" si="74">(E220-$L$7)^2</f>
        <v>177.1940393</v>
      </c>
      <c r="J220" s="25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24">
        <v>44861.0</v>
      </c>
      <c r="B221" s="25">
        <v>108.410004</v>
      </c>
      <c r="C221" s="25">
        <v>109.580002</v>
      </c>
      <c r="D221" s="25">
        <v>107.419998</v>
      </c>
      <c r="E221" s="25">
        <v>107.550003</v>
      </c>
      <c r="F221" s="25">
        <v>106.691116</v>
      </c>
      <c r="G221" s="25">
        <v>1.8214E7</v>
      </c>
      <c r="H221" s="25">
        <f t="shared" si="1"/>
        <v>27</v>
      </c>
      <c r="I221" s="25">
        <f t="shared" si="74"/>
        <v>365.5199046</v>
      </c>
      <c r="J221" s="25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24">
        <v>44708.0</v>
      </c>
      <c r="B222" s="25">
        <v>95.949997</v>
      </c>
      <c r="C222" s="25">
        <v>97.93</v>
      </c>
      <c r="D222" s="25">
        <v>95.300003</v>
      </c>
      <c r="E222" s="25">
        <v>97.589996</v>
      </c>
      <c r="F222" s="25">
        <v>95.879059</v>
      </c>
      <c r="G222" s="25">
        <v>2.55888E7</v>
      </c>
      <c r="H222" s="25">
        <f t="shared" si="1"/>
        <v>27</v>
      </c>
      <c r="I222" s="25">
        <f>(E222-$L$8)^2</f>
        <v>45.64687521</v>
      </c>
      <c r="J222" s="25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24">
        <v>44620.0</v>
      </c>
      <c r="B223" s="25">
        <v>76.510002</v>
      </c>
      <c r="C223" s="25">
        <v>78.93</v>
      </c>
      <c r="D223" s="25">
        <v>76.199997</v>
      </c>
      <c r="E223" s="25">
        <v>78.419998</v>
      </c>
      <c r="F223" s="25">
        <v>76.263962</v>
      </c>
      <c r="G223" s="25">
        <v>3.22046E7</v>
      </c>
      <c r="H223" s="25">
        <f t="shared" si="1"/>
        <v>28</v>
      </c>
      <c r="I223" s="25">
        <f t="shared" ref="I223:I225" si="75">(E223-$L$4)^2</f>
        <v>252.0156964</v>
      </c>
      <c r="J223" s="25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24">
        <v>44648.0</v>
      </c>
      <c r="B224" s="25">
        <v>83.169998</v>
      </c>
      <c r="C224" s="25">
        <v>83.309998</v>
      </c>
      <c r="D224" s="25">
        <v>82.019997</v>
      </c>
      <c r="E224" s="25">
        <v>82.809998</v>
      </c>
      <c r="F224" s="25">
        <v>80.533264</v>
      </c>
      <c r="G224" s="25">
        <v>2.15524E7</v>
      </c>
      <c r="H224" s="25">
        <f t="shared" si="1"/>
        <v>28</v>
      </c>
      <c r="I224" s="25">
        <f t="shared" si="75"/>
        <v>131.9052767</v>
      </c>
      <c r="J224" s="25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24">
        <v>44893.0</v>
      </c>
      <c r="B225" s="25">
        <v>110.660004</v>
      </c>
      <c r="C225" s="25">
        <v>111.459999</v>
      </c>
      <c r="D225" s="25">
        <v>109.620003</v>
      </c>
      <c r="E225" s="25">
        <v>109.809998</v>
      </c>
      <c r="F225" s="25">
        <v>109.809998</v>
      </c>
      <c r="G225" s="25">
        <v>2.30155E7</v>
      </c>
      <c r="H225" s="25">
        <f t="shared" si="1"/>
        <v>28</v>
      </c>
      <c r="I225" s="25">
        <f t="shared" si="75"/>
        <v>240.7151552</v>
      </c>
      <c r="J225" s="25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24">
        <v>44740.0</v>
      </c>
      <c r="B226" s="25">
        <v>91.120003</v>
      </c>
      <c r="C226" s="25">
        <v>93.239998</v>
      </c>
      <c r="D226" s="25">
        <v>90.349998</v>
      </c>
      <c r="E226" s="25">
        <v>91.5</v>
      </c>
      <c r="F226" s="25">
        <v>89.895836</v>
      </c>
      <c r="G226" s="25">
        <v>3.30969E7</v>
      </c>
      <c r="H226" s="25">
        <f t="shared" si="1"/>
        <v>28</v>
      </c>
      <c r="I226" s="25">
        <f>(E226-$L$5)^2</f>
        <v>10.90651203</v>
      </c>
      <c r="J226" s="25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24">
        <v>44832.0</v>
      </c>
      <c r="B227" s="25">
        <v>86.120003</v>
      </c>
      <c r="C227" s="25">
        <v>89.300003</v>
      </c>
      <c r="D227" s="25">
        <v>85.919998</v>
      </c>
      <c r="E227" s="25">
        <v>88.860001</v>
      </c>
      <c r="F227" s="25">
        <v>88.150368</v>
      </c>
      <c r="G227" s="25">
        <v>1.95433E7</v>
      </c>
      <c r="H227" s="25">
        <f t="shared" si="1"/>
        <v>28</v>
      </c>
      <c r="I227" s="25">
        <f t="shared" ref="I227:I228" si="76">(E227-$L$6)^2</f>
        <v>1.506759319</v>
      </c>
      <c r="J227" s="25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24">
        <v>44923.0</v>
      </c>
      <c r="B228" s="25">
        <v>109.910004</v>
      </c>
      <c r="C228" s="25">
        <v>110.0</v>
      </c>
      <c r="D228" s="25">
        <v>107.900002</v>
      </c>
      <c r="E228" s="25">
        <v>108.379997</v>
      </c>
      <c r="F228" s="25">
        <v>108.379997</v>
      </c>
      <c r="G228" s="25">
        <v>1.07021E7</v>
      </c>
      <c r="H228" s="25">
        <f t="shared" si="1"/>
        <v>28</v>
      </c>
      <c r="I228" s="25">
        <f t="shared" si="76"/>
        <v>430.4586421</v>
      </c>
      <c r="J228" s="25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24">
        <v>44679.0</v>
      </c>
      <c r="B229" s="25">
        <v>84.879997</v>
      </c>
      <c r="C229" s="25">
        <v>88.139999</v>
      </c>
      <c r="D229" s="25">
        <v>84.07</v>
      </c>
      <c r="E229" s="25">
        <v>87.199997</v>
      </c>
      <c r="F229" s="25">
        <v>84.802567</v>
      </c>
      <c r="G229" s="25">
        <v>3.36838E7</v>
      </c>
      <c r="H229" s="25">
        <f t="shared" si="1"/>
        <v>28</v>
      </c>
      <c r="I229" s="25">
        <f t="shared" ref="I229:I230" si="77">(E229-$L$7)^2</f>
        <v>1.51642266</v>
      </c>
      <c r="J229" s="25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24">
        <v>44770.0</v>
      </c>
      <c r="B230" s="25">
        <v>92.18</v>
      </c>
      <c r="C230" s="25">
        <v>93.25</v>
      </c>
      <c r="D230" s="25">
        <v>91.010002</v>
      </c>
      <c r="E230" s="25">
        <v>92.639999</v>
      </c>
      <c r="F230" s="25">
        <v>91.015854</v>
      </c>
      <c r="G230" s="25">
        <v>2.03531E7</v>
      </c>
      <c r="H230" s="25">
        <f t="shared" si="1"/>
        <v>28</v>
      </c>
      <c r="I230" s="25">
        <f t="shared" si="77"/>
        <v>17.71206866</v>
      </c>
      <c r="J230" s="25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24">
        <v>44589.0</v>
      </c>
      <c r="B231" s="25">
        <v>74.970001</v>
      </c>
      <c r="C231" s="25">
        <v>75.620003</v>
      </c>
      <c r="D231" s="25">
        <v>73.949997</v>
      </c>
      <c r="E231" s="25">
        <v>75.279999</v>
      </c>
      <c r="F231" s="25">
        <v>72.407585</v>
      </c>
      <c r="G231" s="25">
        <v>3.05957E7</v>
      </c>
      <c r="H231" s="25">
        <f t="shared" si="1"/>
        <v>28</v>
      </c>
      <c r="I231" s="25">
        <f t="shared" ref="I231:I232" si="78">(E231-$L$8)^2</f>
        <v>241.9191352</v>
      </c>
      <c r="J231" s="25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24">
        <v>44862.0</v>
      </c>
      <c r="B232" s="25">
        <v>109.459999</v>
      </c>
      <c r="C232" s="25">
        <v>111.209999</v>
      </c>
      <c r="D232" s="25">
        <v>108.120003</v>
      </c>
      <c r="E232" s="25">
        <v>110.699997</v>
      </c>
      <c r="F232" s="25">
        <v>109.815956</v>
      </c>
      <c r="G232" s="25">
        <v>2.81694E7</v>
      </c>
      <c r="H232" s="25">
        <f t="shared" si="1"/>
        <v>28</v>
      </c>
      <c r="I232" s="25">
        <f t="shared" si="78"/>
        <v>394.6678146</v>
      </c>
      <c r="J232" s="25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24">
        <v>44802.0</v>
      </c>
      <c r="B233" s="25">
        <v>98.18</v>
      </c>
      <c r="C233" s="25">
        <v>101.559998</v>
      </c>
      <c r="D233" s="25">
        <v>98.139999</v>
      </c>
      <c r="E233" s="25">
        <v>100.120003</v>
      </c>
      <c r="F233" s="25">
        <v>99.32045</v>
      </c>
      <c r="G233" s="25">
        <v>2.30592E7</v>
      </c>
      <c r="H233" s="25">
        <f t="shared" si="1"/>
        <v>29</v>
      </c>
      <c r="I233" s="25">
        <f>(E233-$L$4)^2</f>
        <v>33.93065704</v>
      </c>
      <c r="J233" s="25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24">
        <v>44649.0</v>
      </c>
      <c r="B234" s="25">
        <v>80.809998</v>
      </c>
      <c r="C234" s="25">
        <v>82.489998</v>
      </c>
      <c r="D234" s="25">
        <v>79.760002</v>
      </c>
      <c r="E234" s="25">
        <v>82.370003</v>
      </c>
      <c r="F234" s="25">
        <v>80.105362</v>
      </c>
      <c r="G234" s="25">
        <v>2.70363E7</v>
      </c>
      <c r="H234" s="25">
        <f t="shared" si="1"/>
        <v>29</v>
      </c>
      <c r="I234" s="25">
        <f t="shared" ref="I234:I235" si="79">(E234-$L$5)^2</f>
        <v>33.95971109</v>
      </c>
      <c r="J234" s="25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24">
        <v>44894.0</v>
      </c>
      <c r="B235" s="25">
        <v>110.610001</v>
      </c>
      <c r="C235" s="25">
        <v>111.800003</v>
      </c>
      <c r="D235" s="25">
        <v>109.790001</v>
      </c>
      <c r="E235" s="25">
        <v>110.540001</v>
      </c>
      <c r="F235" s="25">
        <v>110.540001</v>
      </c>
      <c r="G235" s="25">
        <v>1.44532E7</v>
      </c>
      <c r="H235" s="25">
        <f t="shared" si="1"/>
        <v>29</v>
      </c>
      <c r="I235" s="25">
        <f t="shared" si="79"/>
        <v>499.18739</v>
      </c>
      <c r="J235" s="25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24">
        <v>44741.0</v>
      </c>
      <c r="B236" s="25">
        <v>92.980003</v>
      </c>
      <c r="C236" s="25">
        <v>93.199997</v>
      </c>
      <c r="D236" s="25">
        <v>87.760002</v>
      </c>
      <c r="E236" s="25">
        <v>88.120003</v>
      </c>
      <c r="F236" s="25">
        <v>86.575096</v>
      </c>
      <c r="G236" s="25">
        <v>2.54009E7</v>
      </c>
      <c r="H236" s="25">
        <f t="shared" si="1"/>
        <v>29</v>
      </c>
      <c r="I236" s="25">
        <f>(E236-$L$6)^2</f>
        <v>0.2376594188</v>
      </c>
      <c r="J236" s="25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24">
        <v>44833.0</v>
      </c>
      <c r="B237" s="25">
        <v>88.18</v>
      </c>
      <c r="C237" s="25">
        <v>89.360001</v>
      </c>
      <c r="D237" s="25">
        <v>87.129997</v>
      </c>
      <c r="E237" s="25">
        <v>88.68</v>
      </c>
      <c r="F237" s="25">
        <v>87.971809</v>
      </c>
      <c r="G237" s="25">
        <v>1.7896E7</v>
      </c>
      <c r="H237" s="25">
        <f t="shared" si="1"/>
        <v>29</v>
      </c>
      <c r="I237" s="25">
        <f t="shared" ref="I237:I238" si="80">(E237-$L$7)^2</f>
        <v>0.06178796816</v>
      </c>
      <c r="J237" s="25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24">
        <v>44924.0</v>
      </c>
      <c r="B238" s="25">
        <v>107.989998</v>
      </c>
      <c r="C238" s="25">
        <v>109.720001</v>
      </c>
      <c r="D238" s="25">
        <v>107.989998</v>
      </c>
      <c r="E238" s="25">
        <v>109.199997</v>
      </c>
      <c r="F238" s="25">
        <v>109.199997</v>
      </c>
      <c r="G238" s="25">
        <v>1.0534E7</v>
      </c>
      <c r="H238" s="25">
        <f t="shared" si="1"/>
        <v>29</v>
      </c>
      <c r="I238" s="25">
        <f t="shared" si="80"/>
        <v>431.3334524</v>
      </c>
      <c r="J238" s="25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24">
        <v>44680.0</v>
      </c>
      <c r="B239" s="25">
        <v>88.139999</v>
      </c>
      <c r="C239" s="25">
        <v>88.139999</v>
      </c>
      <c r="D239" s="25">
        <v>84.699997</v>
      </c>
      <c r="E239" s="25">
        <v>85.25</v>
      </c>
      <c r="F239" s="25">
        <v>82.906181</v>
      </c>
      <c r="G239" s="25">
        <v>3.46565E7</v>
      </c>
      <c r="H239" s="25">
        <f t="shared" si="1"/>
        <v>29</v>
      </c>
      <c r="I239" s="25">
        <f t="shared" ref="I239:I240" si="81">(E239-$L$8)^2</f>
        <v>31.1782515</v>
      </c>
      <c r="J239" s="25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24">
        <v>44771.0</v>
      </c>
      <c r="B240" s="25">
        <v>94.449997</v>
      </c>
      <c r="C240" s="25">
        <v>97.519997</v>
      </c>
      <c r="D240" s="25">
        <v>94.099998</v>
      </c>
      <c r="E240" s="25">
        <v>96.93</v>
      </c>
      <c r="F240" s="25">
        <v>95.230637</v>
      </c>
      <c r="G240" s="25">
        <v>2.98258E7</v>
      </c>
      <c r="H240" s="25">
        <f t="shared" si="1"/>
        <v>29</v>
      </c>
      <c r="I240" s="25">
        <f t="shared" si="81"/>
        <v>37.16427778</v>
      </c>
      <c r="J240" s="25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24">
        <v>44803.0</v>
      </c>
      <c r="B241" s="25">
        <v>98.360001</v>
      </c>
      <c r="C241" s="25">
        <v>98.620003</v>
      </c>
      <c r="D241" s="25">
        <v>95.82</v>
      </c>
      <c r="E241" s="25">
        <v>96.309998</v>
      </c>
      <c r="F241" s="25">
        <v>95.540871</v>
      </c>
      <c r="G241" s="25">
        <v>1.70868E7</v>
      </c>
      <c r="H241" s="25">
        <f t="shared" si="1"/>
        <v>30</v>
      </c>
      <c r="I241" s="25">
        <f>(E241-$L$5)^2</f>
        <v>65.812638</v>
      </c>
      <c r="J241" s="25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24">
        <v>44650.0</v>
      </c>
      <c r="B242" s="25">
        <v>83.059998</v>
      </c>
      <c r="C242" s="25">
        <v>84.010002</v>
      </c>
      <c r="D242" s="25">
        <v>82.709999</v>
      </c>
      <c r="E242" s="25">
        <v>83.779999</v>
      </c>
      <c r="F242" s="25">
        <v>81.476593</v>
      </c>
      <c r="G242" s="25">
        <v>2.2079E7</v>
      </c>
      <c r="H242" s="25">
        <f t="shared" si="1"/>
        <v>30</v>
      </c>
      <c r="I242" s="25">
        <f t="shared" ref="I242:I243" si="82">(E242-$L$6)^2</f>
        <v>14.84176203</v>
      </c>
      <c r="J242" s="25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24">
        <v>44895.0</v>
      </c>
      <c r="B243" s="25">
        <v>111.540001</v>
      </c>
      <c r="C243" s="25">
        <v>111.900002</v>
      </c>
      <c r="D243" s="25">
        <v>109.779999</v>
      </c>
      <c r="E243" s="25">
        <v>111.339996</v>
      </c>
      <c r="F243" s="25">
        <v>111.339996</v>
      </c>
      <c r="G243" s="25">
        <v>2.31581E7</v>
      </c>
      <c r="H243" s="25">
        <f t="shared" si="1"/>
        <v>30</v>
      </c>
      <c r="I243" s="25">
        <f t="shared" si="82"/>
        <v>562.0453784</v>
      </c>
      <c r="J243" s="25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24">
        <v>44742.0</v>
      </c>
      <c r="B244" s="25">
        <v>86.139999</v>
      </c>
      <c r="C244" s="25">
        <v>87.599998</v>
      </c>
      <c r="D244" s="25">
        <v>84.669998</v>
      </c>
      <c r="E244" s="25">
        <v>85.639999</v>
      </c>
      <c r="F244" s="25">
        <v>84.138573</v>
      </c>
      <c r="G244" s="25">
        <v>3.99481E7</v>
      </c>
      <c r="H244" s="25">
        <f t="shared" si="1"/>
        <v>30</v>
      </c>
      <c r="I244" s="25">
        <f>(E244-$L$7)^2</f>
        <v>7.79207666</v>
      </c>
      <c r="J244" s="25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24">
        <v>44834.0</v>
      </c>
      <c r="B245" s="25">
        <v>88.169998</v>
      </c>
      <c r="C245" s="25">
        <v>89.040001</v>
      </c>
      <c r="D245" s="25">
        <v>87.309998</v>
      </c>
      <c r="E245" s="25">
        <v>87.309998</v>
      </c>
      <c r="F245" s="25">
        <v>86.612747</v>
      </c>
      <c r="G245" s="25">
        <v>2.13576E7</v>
      </c>
      <c r="H245" s="25">
        <f t="shared" si="1"/>
        <v>30</v>
      </c>
      <c r="I245" s="25">
        <f t="shared" ref="I245:I246" si="83">(E245-$L$8)^2</f>
        <v>12.41682023</v>
      </c>
      <c r="J245" s="25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24">
        <v>44925.0</v>
      </c>
      <c r="B246" s="25">
        <v>108.610001</v>
      </c>
      <c r="C246" s="25">
        <v>110.5</v>
      </c>
      <c r="D246" s="25">
        <v>108.610001</v>
      </c>
      <c r="E246" s="25">
        <v>110.300003</v>
      </c>
      <c r="F246" s="25">
        <v>110.300003</v>
      </c>
      <c r="G246" s="25">
        <v>1.17933E7</v>
      </c>
      <c r="H246" s="25">
        <f t="shared" si="1"/>
        <v>30</v>
      </c>
      <c r="I246" s="25">
        <f t="shared" si="83"/>
        <v>378.9350497</v>
      </c>
      <c r="J246" s="25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24">
        <v>44592.0</v>
      </c>
      <c r="B247" s="25">
        <v>74.970001</v>
      </c>
      <c r="C247" s="25">
        <v>76.419998</v>
      </c>
      <c r="D247" s="25">
        <v>74.269997</v>
      </c>
      <c r="E247" s="25">
        <v>75.959999</v>
      </c>
      <c r="F247" s="25">
        <v>73.061638</v>
      </c>
      <c r="G247" s="25">
        <v>3.60855E7</v>
      </c>
      <c r="H247" s="25">
        <f t="shared" si="1"/>
        <v>31</v>
      </c>
      <c r="I247" s="25">
        <f t="shared" ref="I247:I248" si="84">(E247-$L$4)^2</f>
        <v>336.1722708</v>
      </c>
      <c r="J247" s="25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24">
        <v>44865.0</v>
      </c>
      <c r="B248" s="25">
        <v>109.5</v>
      </c>
      <c r="C248" s="25">
        <v>112.910004</v>
      </c>
      <c r="D248" s="25">
        <v>109.440002</v>
      </c>
      <c r="E248" s="25">
        <v>110.809998</v>
      </c>
      <c r="F248" s="25">
        <v>109.925072</v>
      </c>
      <c r="G248" s="25">
        <v>2.64018E7</v>
      </c>
      <c r="H248" s="25">
        <f t="shared" si="1"/>
        <v>31</v>
      </c>
      <c r="I248" s="25">
        <f t="shared" si="84"/>
        <v>272.7451507</v>
      </c>
      <c r="J248" s="25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24">
        <v>44712.0</v>
      </c>
      <c r="B249" s="25">
        <v>98.559998</v>
      </c>
      <c r="C249" s="25">
        <v>99.779999</v>
      </c>
      <c r="D249" s="25">
        <v>95.709999</v>
      </c>
      <c r="E249" s="25">
        <v>96.0</v>
      </c>
      <c r="F249" s="25">
        <v>94.316948</v>
      </c>
      <c r="G249" s="25">
        <v>4.48881E7</v>
      </c>
      <c r="H249" s="25">
        <f t="shared" si="1"/>
        <v>31</v>
      </c>
      <c r="I249" s="25">
        <f>(E249-$L$5)^2</f>
        <v>60.8790199</v>
      </c>
      <c r="J249" s="25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24">
        <v>44804.0</v>
      </c>
      <c r="B250" s="25">
        <v>94.029999</v>
      </c>
      <c r="C250" s="25">
        <v>96.839996</v>
      </c>
      <c r="D250" s="25">
        <v>93.589996</v>
      </c>
      <c r="E250" s="25">
        <v>95.589996</v>
      </c>
      <c r="F250" s="25">
        <v>94.826622</v>
      </c>
      <c r="G250" s="25">
        <v>1.83409E7</v>
      </c>
      <c r="H250" s="25">
        <f t="shared" si="1"/>
        <v>31</v>
      </c>
      <c r="I250" s="25">
        <f>(E250-$L$6)^2</f>
        <v>63.32174657</v>
      </c>
      <c r="J250" s="25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24">
        <v>44651.0</v>
      </c>
      <c r="B251" s="25">
        <v>82.870003</v>
      </c>
      <c r="C251" s="25">
        <v>84.400002</v>
      </c>
      <c r="D251" s="25">
        <v>82.550003</v>
      </c>
      <c r="E251" s="25">
        <v>82.589996</v>
      </c>
      <c r="F251" s="25">
        <v>80.319305</v>
      </c>
      <c r="G251" s="25">
        <v>2.78615E7</v>
      </c>
      <c r="H251" s="25">
        <f t="shared" si="1"/>
        <v>31</v>
      </c>
      <c r="I251" s="25">
        <f>(E251-$L$7)^2</f>
        <v>34.12232948</v>
      </c>
      <c r="J251" s="25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 t="s">
        <v>0</v>
      </c>
      <c r="B252" s="3" t="s">
        <v>1</v>
      </c>
      <c r="C252" s="3" t="s">
        <v>2</v>
      </c>
      <c r="D252" s="3" t="s">
        <v>3</v>
      </c>
      <c r="E252" s="3" t="s">
        <v>4</v>
      </c>
      <c r="F252" s="3" t="s">
        <v>5</v>
      </c>
      <c r="G252" s="3" t="s">
        <v>6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5">
        <v>44564.0</v>
      </c>
      <c r="B2" s="6">
        <v>61.24</v>
      </c>
      <c r="C2" s="6">
        <v>63.6</v>
      </c>
      <c r="D2" s="6">
        <v>61.21</v>
      </c>
      <c r="E2" s="6">
        <v>63.54</v>
      </c>
      <c r="F2" s="6">
        <v>61.11554</v>
      </c>
      <c r="G2" s="6">
        <v>2.42824E7</v>
      </c>
      <c r="H2" s="31"/>
      <c r="I2" s="31"/>
      <c r="J2" s="31"/>
      <c r="K2" s="31"/>
      <c r="L2" s="31"/>
      <c r="M2" s="31"/>
      <c r="N2" s="31"/>
      <c r="O2" s="31"/>
      <c r="P2" s="31"/>
      <c r="Q2" s="31"/>
    </row>
    <row r="3">
      <c r="A3" s="5">
        <v>44565.0</v>
      </c>
      <c r="B3" s="6">
        <v>64.13</v>
      </c>
      <c r="C3" s="6">
        <v>66.19</v>
      </c>
      <c r="D3" s="6">
        <v>64.1</v>
      </c>
      <c r="E3" s="6">
        <v>65.93</v>
      </c>
      <c r="F3" s="6">
        <v>63.41434</v>
      </c>
      <c r="G3" s="6">
        <v>3.8584E7</v>
      </c>
      <c r="H3" s="31"/>
      <c r="I3" s="31"/>
      <c r="J3" s="31"/>
      <c r="K3" s="31"/>
      <c r="L3" s="31"/>
      <c r="M3" s="31"/>
      <c r="N3" s="31"/>
      <c r="O3" s="31"/>
      <c r="P3" s="31"/>
      <c r="Q3" s="31"/>
    </row>
    <row r="4">
      <c r="A4" s="5">
        <v>44566.0</v>
      </c>
      <c r="B4" s="6">
        <v>66.5</v>
      </c>
      <c r="C4" s="6">
        <v>67.61</v>
      </c>
      <c r="D4" s="6">
        <v>66.48</v>
      </c>
      <c r="E4" s="6">
        <v>66.75</v>
      </c>
      <c r="F4" s="6">
        <v>64.20306</v>
      </c>
      <c r="G4" s="6">
        <v>3.40333E7</v>
      </c>
      <c r="H4" s="31"/>
      <c r="I4" s="31"/>
      <c r="J4" s="31"/>
      <c r="K4" s="31"/>
      <c r="L4" s="31"/>
      <c r="M4" s="31"/>
      <c r="N4" s="31"/>
      <c r="O4" s="31"/>
      <c r="P4" s="31"/>
      <c r="Q4" s="31"/>
    </row>
    <row r="5">
      <c r="A5" s="5">
        <v>44567.0</v>
      </c>
      <c r="B5" s="6">
        <v>68.0</v>
      </c>
      <c r="C5" s="6">
        <v>68.48</v>
      </c>
      <c r="D5" s="6">
        <v>67.07</v>
      </c>
      <c r="E5" s="6">
        <v>68.32</v>
      </c>
      <c r="F5" s="6">
        <v>65.71315</v>
      </c>
      <c r="G5" s="6">
        <v>3.06685E7</v>
      </c>
      <c r="H5" s="31"/>
      <c r="I5" s="4"/>
      <c r="J5" s="31"/>
      <c r="K5" s="31"/>
      <c r="L5" s="31"/>
      <c r="M5" s="31"/>
      <c r="N5" s="31"/>
      <c r="O5" s="31"/>
      <c r="P5" s="31"/>
      <c r="Q5" s="31"/>
    </row>
    <row r="6">
      <c r="A6" s="5">
        <v>44568.0</v>
      </c>
      <c r="B6" s="6">
        <v>68.52</v>
      </c>
      <c r="C6" s="6">
        <v>69.18</v>
      </c>
      <c r="D6" s="6">
        <v>67.98</v>
      </c>
      <c r="E6" s="6">
        <v>68.88</v>
      </c>
      <c r="F6" s="6">
        <v>66.25178</v>
      </c>
      <c r="G6" s="6">
        <v>2.39854E7</v>
      </c>
      <c r="H6" s="31"/>
      <c r="I6" s="31"/>
      <c r="J6" s="31"/>
      <c r="K6" s="31"/>
      <c r="L6" s="31"/>
      <c r="M6" s="31"/>
      <c r="N6" s="31"/>
      <c r="O6" s="31"/>
      <c r="P6" s="31"/>
      <c r="Q6" s="31"/>
    </row>
    <row r="7">
      <c r="A7" s="5">
        <v>44571.0</v>
      </c>
      <c r="B7" s="6">
        <v>68.97</v>
      </c>
      <c r="C7" s="6">
        <v>69.17</v>
      </c>
      <c r="D7" s="6">
        <v>67.95</v>
      </c>
      <c r="E7" s="6">
        <v>68.47</v>
      </c>
      <c r="F7" s="6">
        <v>65.85743</v>
      </c>
      <c r="G7" s="6">
        <v>2.27603E7</v>
      </c>
      <c r="H7" s="31"/>
      <c r="I7" s="32"/>
      <c r="K7" s="31"/>
      <c r="L7" s="31"/>
      <c r="M7" s="31"/>
      <c r="N7" s="31"/>
      <c r="O7" s="31"/>
      <c r="P7" s="31"/>
      <c r="Q7" s="31"/>
    </row>
    <row r="8">
      <c r="A8" s="5">
        <v>44572.0</v>
      </c>
      <c r="B8" s="6">
        <v>68.89</v>
      </c>
      <c r="C8" s="6">
        <v>71.4</v>
      </c>
      <c r="D8" s="6">
        <v>68.58</v>
      </c>
      <c r="E8" s="6">
        <v>71.35</v>
      </c>
      <c r="F8" s="6">
        <v>68.62753</v>
      </c>
      <c r="G8" s="6">
        <v>3.29361E7</v>
      </c>
      <c r="H8" s="31"/>
      <c r="I8" s="4"/>
      <c r="J8" s="6"/>
      <c r="K8" s="31"/>
      <c r="L8" s="31"/>
      <c r="M8" s="31"/>
      <c r="N8" s="31"/>
      <c r="O8" s="31"/>
      <c r="P8" s="31"/>
      <c r="Q8" s="31"/>
    </row>
    <row r="9">
      <c r="A9" s="5">
        <v>44573.0</v>
      </c>
      <c r="B9" s="6">
        <v>71.14</v>
      </c>
      <c r="C9" s="6">
        <v>71.81</v>
      </c>
      <c r="D9" s="6">
        <v>70.64</v>
      </c>
      <c r="E9" s="6">
        <v>71.14</v>
      </c>
      <c r="F9" s="6">
        <v>68.42555</v>
      </c>
      <c r="G9" s="6">
        <v>2.30451E7</v>
      </c>
      <c r="H9" s="31"/>
      <c r="I9" s="4"/>
      <c r="J9" s="6"/>
      <c r="K9" s="31"/>
      <c r="L9" s="31"/>
      <c r="M9" s="31"/>
      <c r="N9" s="31"/>
      <c r="O9" s="31"/>
      <c r="P9" s="31"/>
      <c r="Q9" s="31"/>
    </row>
    <row r="10">
      <c r="A10" s="5">
        <v>44574.0</v>
      </c>
      <c r="B10" s="6">
        <v>71.12</v>
      </c>
      <c r="C10" s="6">
        <v>71.58</v>
      </c>
      <c r="D10" s="6">
        <v>70.31</v>
      </c>
      <c r="E10" s="6">
        <v>70.63</v>
      </c>
      <c r="F10" s="6">
        <v>67.93501</v>
      </c>
      <c r="G10" s="6">
        <v>2.10432E7</v>
      </c>
      <c r="H10" s="31"/>
      <c r="I10" s="4"/>
      <c r="J10" s="6"/>
      <c r="K10" s="31"/>
      <c r="L10" s="31"/>
      <c r="M10" s="31"/>
      <c r="N10" s="31"/>
      <c r="O10" s="31"/>
      <c r="P10" s="31"/>
      <c r="Q10" s="31"/>
    </row>
    <row r="11">
      <c r="A11" s="5">
        <v>44575.0</v>
      </c>
      <c r="B11" s="6">
        <v>70.65</v>
      </c>
      <c r="C11" s="6">
        <v>72.15</v>
      </c>
      <c r="D11" s="6">
        <v>70.6</v>
      </c>
      <c r="E11" s="6">
        <v>71.87</v>
      </c>
      <c r="F11" s="6">
        <v>69.1277</v>
      </c>
      <c r="G11" s="6">
        <v>2.30129E7</v>
      </c>
      <c r="H11" s="31"/>
      <c r="I11" s="4"/>
      <c r="J11" s="6"/>
      <c r="K11" s="31"/>
      <c r="L11" s="31"/>
      <c r="M11" s="31"/>
      <c r="N11" s="31"/>
      <c r="O11" s="31"/>
      <c r="P11" s="31"/>
      <c r="Q11" s="31"/>
    </row>
    <row r="12">
      <c r="A12" s="5">
        <v>44579.0</v>
      </c>
      <c r="B12" s="6">
        <v>72.82</v>
      </c>
      <c r="C12" s="6">
        <v>73.88</v>
      </c>
      <c r="D12" s="6">
        <v>72.01</v>
      </c>
      <c r="E12" s="6">
        <v>73.08</v>
      </c>
      <c r="F12" s="6">
        <v>70.29153</v>
      </c>
      <c r="G12" s="6">
        <v>3.28412E7</v>
      </c>
      <c r="H12" s="31"/>
      <c r="I12" s="4"/>
      <c r="J12" s="6"/>
      <c r="K12" s="31"/>
      <c r="L12" s="31"/>
      <c r="M12" s="6"/>
      <c r="N12" s="31"/>
      <c r="O12" s="31"/>
      <c r="P12" s="31"/>
      <c r="Q12" s="31"/>
    </row>
    <row r="13">
      <c r="A13" s="5">
        <v>44580.0</v>
      </c>
      <c r="B13" s="6">
        <v>73.75</v>
      </c>
      <c r="C13" s="6">
        <v>73.86</v>
      </c>
      <c r="D13" s="6">
        <v>72.55</v>
      </c>
      <c r="E13" s="6">
        <v>73.11</v>
      </c>
      <c r="F13" s="6">
        <v>70.32038</v>
      </c>
      <c r="G13" s="6">
        <v>2.64316E7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>
      <c r="A14" s="5">
        <v>44581.0</v>
      </c>
      <c r="B14" s="6">
        <v>72.5</v>
      </c>
      <c r="C14" s="6">
        <v>74.37</v>
      </c>
      <c r="D14" s="6">
        <v>72.26</v>
      </c>
      <c r="E14" s="6">
        <v>73.27</v>
      </c>
      <c r="F14" s="6">
        <v>70.47428</v>
      </c>
      <c r="G14" s="6">
        <v>2.67746E7</v>
      </c>
      <c r="H14" s="31"/>
      <c r="I14" s="4"/>
      <c r="J14" s="31"/>
      <c r="K14" s="31"/>
      <c r="L14" s="31"/>
      <c r="M14" s="31"/>
      <c r="N14" s="31"/>
      <c r="O14" s="31"/>
      <c r="P14" s="31"/>
      <c r="Q14" s="31"/>
    </row>
    <row r="15">
      <c r="A15" s="5">
        <v>44582.0</v>
      </c>
      <c r="B15" s="6">
        <v>73.18</v>
      </c>
      <c r="C15" s="6">
        <v>73.18</v>
      </c>
      <c r="D15" s="6">
        <v>71.04</v>
      </c>
      <c r="E15" s="6">
        <v>72.17</v>
      </c>
      <c r="F15" s="6">
        <v>69.41625</v>
      </c>
      <c r="G15" s="6">
        <v>3.59952E7</v>
      </c>
      <c r="H15" s="31"/>
      <c r="I15" s="33"/>
      <c r="J15" s="32"/>
      <c r="K15" s="32"/>
      <c r="L15" s="32"/>
      <c r="M15" s="32"/>
      <c r="N15" s="32"/>
      <c r="O15" s="31"/>
      <c r="P15" s="31"/>
      <c r="Q15" s="31"/>
    </row>
    <row r="16">
      <c r="A16" s="5">
        <v>44585.0</v>
      </c>
      <c r="B16" s="6">
        <v>70.88</v>
      </c>
      <c r="C16" s="6">
        <v>73.08</v>
      </c>
      <c r="D16" s="6">
        <v>69.81</v>
      </c>
      <c r="E16" s="6">
        <v>72.79</v>
      </c>
      <c r="F16" s="6">
        <v>70.0126</v>
      </c>
      <c r="G16" s="6">
        <v>4.1507E7</v>
      </c>
      <c r="H16" s="31"/>
      <c r="I16" s="4"/>
      <c r="J16" s="6"/>
      <c r="K16" s="6"/>
      <c r="L16" s="6"/>
      <c r="M16" s="6"/>
      <c r="N16" s="7"/>
      <c r="O16" s="31"/>
      <c r="P16" s="31"/>
      <c r="Q16" s="31"/>
    </row>
    <row r="17">
      <c r="A17" s="5">
        <v>44586.0</v>
      </c>
      <c r="B17" s="6">
        <v>72.59</v>
      </c>
      <c r="C17" s="6">
        <v>75.24</v>
      </c>
      <c r="D17" s="6">
        <v>71.39</v>
      </c>
      <c r="E17" s="6">
        <v>74.93</v>
      </c>
      <c r="F17" s="6">
        <v>72.07094</v>
      </c>
      <c r="G17" s="6">
        <v>3.92784E7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4"/>
      <c r="S17" s="6"/>
      <c r="T17" s="6"/>
      <c r="U17" s="6"/>
      <c r="V17" s="31"/>
      <c r="W17" s="31"/>
      <c r="X17" s="31"/>
      <c r="Y17" s="31"/>
      <c r="Z17" s="31"/>
    </row>
    <row r="18">
      <c r="A18" s="5">
        <v>44587.0</v>
      </c>
      <c r="B18" s="6">
        <v>75.43</v>
      </c>
      <c r="C18" s="6">
        <v>76.0</v>
      </c>
      <c r="D18" s="6">
        <v>73.49</v>
      </c>
      <c r="E18" s="6">
        <v>74.17</v>
      </c>
      <c r="F18" s="6">
        <v>71.33994</v>
      </c>
      <c r="G18" s="6">
        <v>3.52524E7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4"/>
      <c r="S18" s="6"/>
      <c r="T18" s="6"/>
      <c r="U18" s="31"/>
      <c r="V18" s="31"/>
      <c r="W18" s="31"/>
      <c r="X18" s="31"/>
      <c r="Y18" s="31"/>
      <c r="Z18" s="31"/>
    </row>
    <row r="19">
      <c r="A19" s="5">
        <v>44588.0</v>
      </c>
      <c r="B19" s="6">
        <v>75.46</v>
      </c>
      <c r="C19" s="6">
        <v>76.01</v>
      </c>
      <c r="D19" s="6">
        <v>73.99</v>
      </c>
      <c r="E19" s="6">
        <v>75.12</v>
      </c>
      <c r="F19" s="6">
        <v>72.25369</v>
      </c>
      <c r="G19" s="6">
        <v>2.91747E7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5">
        <v>44589.0</v>
      </c>
      <c r="B20" s="6">
        <v>74.97</v>
      </c>
      <c r="C20" s="6">
        <v>75.62</v>
      </c>
      <c r="D20" s="6">
        <v>73.95</v>
      </c>
      <c r="E20" s="6">
        <v>75.28</v>
      </c>
      <c r="F20" s="6">
        <v>72.40759</v>
      </c>
      <c r="G20" s="6">
        <v>3.05957E7</v>
      </c>
      <c r="H20" s="31"/>
      <c r="I20" s="4" t="s">
        <v>32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5">
        <v>44592.0</v>
      </c>
      <c r="B21" s="6">
        <v>74.97</v>
      </c>
      <c r="C21" s="6">
        <v>76.42</v>
      </c>
      <c r="D21" s="6">
        <v>74.27</v>
      </c>
      <c r="E21" s="6">
        <v>75.96</v>
      </c>
      <c r="F21" s="6">
        <v>73.06164</v>
      </c>
      <c r="G21" s="6">
        <v>3.60855E7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5">
        <v>44593.0</v>
      </c>
      <c r="B22" s="6">
        <v>76.45</v>
      </c>
      <c r="C22" s="6">
        <v>81.51</v>
      </c>
      <c r="D22" s="6">
        <v>76.27</v>
      </c>
      <c r="E22" s="6">
        <v>80.83</v>
      </c>
      <c r="F22" s="6">
        <v>77.74582</v>
      </c>
      <c r="G22" s="6">
        <v>6.10331E7</v>
      </c>
      <c r="H22" s="31"/>
      <c r="I22" s="34" t="s">
        <v>33</v>
      </c>
      <c r="J22" s="35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5">
        <v>44594.0</v>
      </c>
      <c r="B23" s="6">
        <v>80.06</v>
      </c>
      <c r="C23" s="6">
        <v>80.81</v>
      </c>
      <c r="D23" s="6">
        <v>79.15</v>
      </c>
      <c r="E23" s="6">
        <v>80.62</v>
      </c>
      <c r="F23" s="6">
        <v>77.54384</v>
      </c>
      <c r="G23" s="6">
        <v>3.02993E7</v>
      </c>
      <c r="H23" s="31"/>
      <c r="I23" s="4" t="s">
        <v>34</v>
      </c>
      <c r="J23" s="6">
        <v>0.891993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5">
        <v>44595.0</v>
      </c>
      <c r="B24" s="6">
        <v>80.09</v>
      </c>
      <c r="C24" s="6">
        <v>80.31</v>
      </c>
      <c r="D24" s="6">
        <v>79.02</v>
      </c>
      <c r="E24" s="6">
        <v>79.68</v>
      </c>
      <c r="F24" s="6">
        <v>76.63969</v>
      </c>
      <c r="G24" s="6">
        <v>2.85294E7</v>
      </c>
      <c r="H24" s="31"/>
      <c r="I24" s="4" t="s">
        <v>35</v>
      </c>
      <c r="J24" s="6">
        <v>0.795652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5">
        <v>44596.0</v>
      </c>
      <c r="B25" s="6">
        <v>80.87</v>
      </c>
      <c r="C25" s="6">
        <v>82.53</v>
      </c>
      <c r="D25" s="6">
        <v>80.87</v>
      </c>
      <c r="E25" s="6">
        <v>81.41</v>
      </c>
      <c r="F25" s="6">
        <v>78.3037</v>
      </c>
      <c r="G25" s="6">
        <v>3.21975E7</v>
      </c>
      <c r="H25" s="31"/>
      <c r="I25" s="4" t="s">
        <v>36</v>
      </c>
      <c r="J25" s="6">
        <v>0.794831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5">
        <v>44599.0</v>
      </c>
      <c r="B26" s="6">
        <v>81.14</v>
      </c>
      <c r="C26" s="6">
        <v>83.08</v>
      </c>
      <c r="D26" s="6">
        <v>80.64</v>
      </c>
      <c r="E26" s="6">
        <v>82.39</v>
      </c>
      <c r="F26" s="6">
        <v>79.24629</v>
      </c>
      <c r="G26" s="6">
        <v>3.49492E7</v>
      </c>
      <c r="H26" s="31"/>
      <c r="I26" s="4" t="s">
        <v>37</v>
      </c>
      <c r="J26" s="6">
        <v>5.276612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5">
        <v>44600.0</v>
      </c>
      <c r="B27" s="6">
        <v>82.27</v>
      </c>
      <c r="C27" s="6">
        <v>82.5</v>
      </c>
      <c r="D27" s="6">
        <v>79.92</v>
      </c>
      <c r="E27" s="6">
        <v>80.26</v>
      </c>
      <c r="F27" s="6">
        <v>77.19756</v>
      </c>
      <c r="G27" s="6">
        <v>3.43563E7</v>
      </c>
      <c r="H27" s="31"/>
      <c r="I27" s="36" t="s">
        <v>38</v>
      </c>
      <c r="J27" s="37">
        <v>251.0</v>
      </c>
      <c r="K27" s="31"/>
      <c r="L27" s="31"/>
      <c r="M27" s="6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5">
        <v>44601.0</v>
      </c>
      <c r="B28" s="6">
        <v>79.58</v>
      </c>
      <c r="C28" s="6">
        <v>80.03</v>
      </c>
      <c r="D28" s="6">
        <v>78.71</v>
      </c>
      <c r="E28" s="6">
        <v>79.0</v>
      </c>
      <c r="F28" s="6">
        <v>76.82801</v>
      </c>
      <c r="G28" s="6">
        <v>4.01061E7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5">
        <v>44602.0</v>
      </c>
      <c r="B29" s="6">
        <v>78.72</v>
      </c>
      <c r="C29" s="6">
        <v>79.68</v>
      </c>
      <c r="D29" s="6">
        <v>77.79</v>
      </c>
      <c r="E29" s="6">
        <v>78.24</v>
      </c>
      <c r="F29" s="6">
        <v>76.08891</v>
      </c>
      <c r="G29" s="6">
        <v>2.85277E7</v>
      </c>
      <c r="H29" s="31"/>
      <c r="I29" s="4" t="s">
        <v>39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5">
        <v>44603.0</v>
      </c>
      <c r="B30" s="6">
        <v>78.62</v>
      </c>
      <c r="C30" s="6">
        <v>80.32</v>
      </c>
      <c r="D30" s="6">
        <v>78.23</v>
      </c>
      <c r="E30" s="6">
        <v>80.21</v>
      </c>
      <c r="F30" s="6">
        <v>78.00475</v>
      </c>
      <c r="G30" s="6">
        <v>4.20021E7</v>
      </c>
      <c r="H30" s="31"/>
      <c r="I30" s="38"/>
      <c r="J30" s="34" t="s">
        <v>40</v>
      </c>
      <c r="K30" s="34" t="s">
        <v>41</v>
      </c>
      <c r="L30" s="34" t="s">
        <v>20</v>
      </c>
      <c r="M30" s="34" t="s">
        <v>24</v>
      </c>
      <c r="N30" s="34" t="s">
        <v>42</v>
      </c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5">
        <v>44606.0</v>
      </c>
      <c r="B31" s="6">
        <v>79.58</v>
      </c>
      <c r="C31" s="6">
        <v>79.84</v>
      </c>
      <c r="D31" s="6">
        <v>77.05</v>
      </c>
      <c r="E31" s="6">
        <v>78.98</v>
      </c>
      <c r="F31" s="6">
        <v>76.80856</v>
      </c>
      <c r="G31" s="6">
        <v>3.46528E7</v>
      </c>
      <c r="H31" s="31"/>
      <c r="I31" s="4" t="s">
        <v>43</v>
      </c>
      <c r="J31" s="6">
        <v>1.0</v>
      </c>
      <c r="K31" s="6">
        <v>26993.7</v>
      </c>
      <c r="L31" s="6">
        <v>26993.7</v>
      </c>
      <c r="M31" s="6">
        <v>969.5095</v>
      </c>
      <c r="N31" s="7">
        <v>7.82917E-88</v>
      </c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5">
        <v>44607.0</v>
      </c>
      <c r="B32" s="6">
        <v>76.9</v>
      </c>
      <c r="C32" s="6">
        <v>78.19</v>
      </c>
      <c r="D32" s="6">
        <v>76.42</v>
      </c>
      <c r="E32" s="6">
        <v>77.99</v>
      </c>
      <c r="F32" s="6">
        <v>75.84578</v>
      </c>
      <c r="G32" s="6">
        <v>2.50751E7</v>
      </c>
      <c r="H32" s="31"/>
      <c r="I32" s="4" t="s">
        <v>44</v>
      </c>
      <c r="J32" s="6">
        <v>249.0</v>
      </c>
      <c r="K32" s="6">
        <v>6932.816</v>
      </c>
      <c r="L32" s="6">
        <v>27.84264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5">
        <v>44608.0</v>
      </c>
      <c r="B33" s="6">
        <v>78.79</v>
      </c>
      <c r="C33" s="6">
        <v>79.73</v>
      </c>
      <c r="D33" s="6">
        <v>78.04</v>
      </c>
      <c r="E33" s="6">
        <v>78.35</v>
      </c>
      <c r="F33" s="6">
        <v>76.19588</v>
      </c>
      <c r="G33" s="6">
        <v>2.17338E7</v>
      </c>
      <c r="H33" s="31"/>
      <c r="I33" s="36" t="s">
        <v>45</v>
      </c>
      <c r="J33" s="37">
        <v>250.0</v>
      </c>
      <c r="K33" s="37">
        <v>33926.52</v>
      </c>
      <c r="L33" s="39"/>
      <c r="M33" s="39"/>
      <c r="N33" s="39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5">
        <v>44609.0</v>
      </c>
      <c r="B34" s="6">
        <v>78.48</v>
      </c>
      <c r="C34" s="6">
        <v>79.12</v>
      </c>
      <c r="D34" s="6">
        <v>77.95</v>
      </c>
      <c r="E34" s="6">
        <v>78.23</v>
      </c>
      <c r="F34" s="6">
        <v>76.07919</v>
      </c>
      <c r="G34" s="6">
        <v>2.37388E7</v>
      </c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5">
        <v>44610.0</v>
      </c>
      <c r="B35" s="6">
        <v>77.16</v>
      </c>
      <c r="C35" s="6">
        <v>78.17</v>
      </c>
      <c r="D35" s="6">
        <v>76.89</v>
      </c>
      <c r="E35" s="6">
        <v>77.36</v>
      </c>
      <c r="F35" s="6">
        <v>75.23311</v>
      </c>
      <c r="G35" s="6">
        <v>2.33948E7</v>
      </c>
      <c r="H35" s="31"/>
      <c r="I35" s="38"/>
      <c r="J35" s="34" t="s">
        <v>46</v>
      </c>
      <c r="K35" s="34" t="s">
        <v>37</v>
      </c>
      <c r="L35" s="34" t="s">
        <v>47</v>
      </c>
      <c r="M35" s="34" t="s">
        <v>48</v>
      </c>
      <c r="N35" s="34" t="s">
        <v>49</v>
      </c>
      <c r="O35" s="34" t="s">
        <v>50</v>
      </c>
      <c r="P35" s="34" t="s">
        <v>51</v>
      </c>
      <c r="Q35" s="34" t="s">
        <v>52</v>
      </c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5">
        <v>44614.0</v>
      </c>
      <c r="B36" s="6">
        <v>79.67</v>
      </c>
      <c r="C36" s="6">
        <v>79.79</v>
      </c>
      <c r="D36" s="6">
        <v>75.31</v>
      </c>
      <c r="E36" s="6">
        <v>76.46</v>
      </c>
      <c r="F36" s="6">
        <v>74.35785</v>
      </c>
      <c r="G36" s="6">
        <v>3.59478E7</v>
      </c>
      <c r="H36" s="31"/>
      <c r="I36" s="4" t="s">
        <v>53</v>
      </c>
      <c r="J36" s="6">
        <v>-4332.15</v>
      </c>
      <c r="K36" s="6">
        <v>142.0761</v>
      </c>
      <c r="L36" s="6">
        <v>-30.4918</v>
      </c>
      <c r="M36" s="7">
        <v>4.89E-86</v>
      </c>
      <c r="N36" s="6">
        <v>-4611.975423</v>
      </c>
      <c r="O36" s="6">
        <v>-4052.33</v>
      </c>
      <c r="P36" s="6">
        <v>-4611.98</v>
      </c>
      <c r="Q36" s="6">
        <v>-4052.33</v>
      </c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5">
        <v>44615.0</v>
      </c>
      <c r="B37" s="6">
        <v>76.46</v>
      </c>
      <c r="C37" s="6">
        <v>77.47</v>
      </c>
      <c r="D37" s="6">
        <v>76.13</v>
      </c>
      <c r="E37" s="6">
        <v>76.77</v>
      </c>
      <c r="F37" s="6">
        <v>74.65932</v>
      </c>
      <c r="G37" s="6">
        <v>2.5385E7</v>
      </c>
      <c r="H37" s="31"/>
      <c r="I37" s="36" t="s">
        <v>54</v>
      </c>
      <c r="J37" s="37">
        <v>0.098868</v>
      </c>
      <c r="K37" s="37">
        <v>0.003175</v>
      </c>
      <c r="L37" s="37">
        <v>31.13695</v>
      </c>
      <c r="M37" s="40">
        <v>7.83E-88</v>
      </c>
      <c r="N37" s="37">
        <v>0.092613997</v>
      </c>
      <c r="O37" s="37">
        <v>0.105122</v>
      </c>
      <c r="P37" s="37">
        <v>0.092614</v>
      </c>
      <c r="Q37" s="37">
        <v>0.105122</v>
      </c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5">
        <v>44616.0</v>
      </c>
      <c r="B38" s="6">
        <v>79.0</v>
      </c>
      <c r="C38" s="6">
        <v>79.03</v>
      </c>
      <c r="D38" s="6">
        <v>74.03</v>
      </c>
      <c r="E38" s="6">
        <v>75.8</v>
      </c>
      <c r="F38" s="6">
        <v>73.716</v>
      </c>
      <c r="G38" s="6">
        <v>4.61999E7</v>
      </c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5">
        <v>44617.0</v>
      </c>
      <c r="B39" s="6">
        <v>76.69</v>
      </c>
      <c r="C39" s="6">
        <v>77.99</v>
      </c>
      <c r="D39" s="6">
        <v>76.26</v>
      </c>
      <c r="E39" s="6">
        <v>77.84</v>
      </c>
      <c r="F39" s="6">
        <v>75.6999</v>
      </c>
      <c r="G39" s="6">
        <v>2.83103E7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5">
        <v>44620.0</v>
      </c>
      <c r="B40" s="6">
        <v>76.51</v>
      </c>
      <c r="C40" s="6">
        <v>78.93</v>
      </c>
      <c r="D40" s="6">
        <v>76.2</v>
      </c>
      <c r="E40" s="6">
        <v>78.42</v>
      </c>
      <c r="F40" s="6">
        <v>76.26396</v>
      </c>
      <c r="G40" s="6">
        <v>3.22046E7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5">
        <v>44621.0</v>
      </c>
      <c r="B41" s="6">
        <v>78.77</v>
      </c>
      <c r="C41" s="6">
        <v>80.65</v>
      </c>
      <c r="D41" s="6">
        <v>78.33</v>
      </c>
      <c r="E41" s="6">
        <v>79.17</v>
      </c>
      <c r="F41" s="6">
        <v>76.99334</v>
      </c>
      <c r="G41" s="6">
        <v>4.00023E7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5">
        <v>44622.0</v>
      </c>
      <c r="B42" s="6">
        <v>80.6</v>
      </c>
      <c r="C42" s="6">
        <v>82.15</v>
      </c>
      <c r="D42" s="6">
        <v>79.82</v>
      </c>
      <c r="E42" s="6">
        <v>80.53</v>
      </c>
      <c r="F42" s="6">
        <v>78.31594</v>
      </c>
      <c r="G42" s="6">
        <v>4.43214E7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5">
        <v>44623.0</v>
      </c>
      <c r="B43" s="6">
        <v>79.86</v>
      </c>
      <c r="C43" s="6">
        <v>81.77</v>
      </c>
      <c r="D43" s="6">
        <v>79.63</v>
      </c>
      <c r="E43" s="6">
        <v>81.04</v>
      </c>
      <c r="F43" s="6">
        <v>78.81194</v>
      </c>
      <c r="G43" s="6">
        <v>3.01966E7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5">
        <v>44624.0</v>
      </c>
      <c r="B44" s="6">
        <v>81.05</v>
      </c>
      <c r="C44" s="6">
        <v>84.28</v>
      </c>
      <c r="D44" s="6">
        <v>80.66</v>
      </c>
      <c r="E44" s="6">
        <v>84.09</v>
      </c>
      <c r="F44" s="6">
        <v>81.77807</v>
      </c>
      <c r="G44" s="6">
        <v>4.28022E7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5">
        <v>44627.0</v>
      </c>
      <c r="B45" s="6">
        <v>84.92</v>
      </c>
      <c r="C45" s="6">
        <v>87.23</v>
      </c>
      <c r="D45" s="6">
        <v>83.9</v>
      </c>
      <c r="E45" s="6">
        <v>87.12</v>
      </c>
      <c r="F45" s="6">
        <v>84.72477</v>
      </c>
      <c r="G45" s="6">
        <v>5.52079E7</v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5">
        <v>44628.0</v>
      </c>
      <c r="B46" s="6">
        <v>89.05</v>
      </c>
      <c r="C46" s="6">
        <v>91.51</v>
      </c>
      <c r="D46" s="6">
        <v>85.43</v>
      </c>
      <c r="E46" s="6">
        <v>87.78</v>
      </c>
      <c r="F46" s="6">
        <v>85.36662</v>
      </c>
      <c r="G46" s="6">
        <v>7.20823E7</v>
      </c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5">
        <v>44629.0</v>
      </c>
      <c r="B47" s="6">
        <v>84.03</v>
      </c>
      <c r="C47" s="6">
        <v>86.57</v>
      </c>
      <c r="D47" s="6">
        <v>81.6</v>
      </c>
      <c r="E47" s="6">
        <v>82.79</v>
      </c>
      <c r="F47" s="6">
        <v>80.51381</v>
      </c>
      <c r="G47" s="6">
        <v>6.54667E7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5">
        <v>44630.0</v>
      </c>
      <c r="B48" s="6">
        <v>84.01</v>
      </c>
      <c r="C48" s="6">
        <v>85.68</v>
      </c>
      <c r="D48" s="6">
        <v>82.9</v>
      </c>
      <c r="E48" s="6">
        <v>85.36</v>
      </c>
      <c r="F48" s="6">
        <v>83.01315</v>
      </c>
      <c r="G48" s="6">
        <v>4.46442E7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5">
        <v>44631.0</v>
      </c>
      <c r="B49" s="6">
        <v>84.07</v>
      </c>
      <c r="C49" s="6">
        <v>86.23</v>
      </c>
      <c r="D49" s="6">
        <v>83.97</v>
      </c>
      <c r="E49" s="6">
        <v>84.92</v>
      </c>
      <c r="F49" s="6">
        <v>82.58524</v>
      </c>
      <c r="G49" s="6">
        <v>3.53034E7</v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5">
        <v>44634.0</v>
      </c>
      <c r="B50" s="6">
        <v>83.06</v>
      </c>
      <c r="C50" s="6">
        <v>83.45</v>
      </c>
      <c r="D50" s="6">
        <v>80.5</v>
      </c>
      <c r="E50" s="6">
        <v>81.88</v>
      </c>
      <c r="F50" s="6">
        <v>79.62882</v>
      </c>
      <c r="G50" s="6">
        <v>3.74626E7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5">
        <v>44635.0</v>
      </c>
      <c r="B51" s="6">
        <v>78.82</v>
      </c>
      <c r="C51" s="6">
        <v>79.17</v>
      </c>
      <c r="D51" s="6">
        <v>76.37</v>
      </c>
      <c r="E51" s="6">
        <v>77.22</v>
      </c>
      <c r="F51" s="6">
        <v>75.09695</v>
      </c>
      <c r="G51" s="6">
        <v>4.79579E7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5">
        <v>44636.0</v>
      </c>
      <c r="B52" s="6">
        <v>77.81</v>
      </c>
      <c r="C52" s="6">
        <v>78.62</v>
      </c>
      <c r="D52" s="6">
        <v>76.25</v>
      </c>
      <c r="E52" s="6">
        <v>76.93</v>
      </c>
      <c r="F52" s="6">
        <v>74.81493</v>
      </c>
      <c r="G52" s="6">
        <v>3.78123E7</v>
      </c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5">
        <v>44637.0</v>
      </c>
      <c r="B53" s="6">
        <v>78.18</v>
      </c>
      <c r="C53" s="6">
        <v>79.15</v>
      </c>
      <c r="D53" s="6">
        <v>77.07</v>
      </c>
      <c r="E53" s="6">
        <v>78.98</v>
      </c>
      <c r="F53" s="6">
        <v>76.80856</v>
      </c>
      <c r="G53" s="6">
        <v>3.40419E7</v>
      </c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5">
        <v>44638.0</v>
      </c>
      <c r="B54" s="6">
        <v>79.06</v>
      </c>
      <c r="C54" s="6">
        <v>79.39</v>
      </c>
      <c r="D54" s="6">
        <v>78.1</v>
      </c>
      <c r="E54" s="6">
        <v>78.67</v>
      </c>
      <c r="F54" s="6">
        <v>76.50708</v>
      </c>
      <c r="G54" s="6">
        <v>4.14615E7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5">
        <v>44641.0</v>
      </c>
      <c r="B55" s="6">
        <v>80.12</v>
      </c>
      <c r="C55" s="6">
        <v>82.52</v>
      </c>
      <c r="D55" s="6">
        <v>79.74</v>
      </c>
      <c r="E55" s="6">
        <v>82.2</v>
      </c>
      <c r="F55" s="6">
        <v>79.94003</v>
      </c>
      <c r="G55" s="6">
        <v>3.30893E7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5">
        <v>44642.0</v>
      </c>
      <c r="B56" s="6">
        <v>81.63</v>
      </c>
      <c r="C56" s="6">
        <v>82.2</v>
      </c>
      <c r="D56" s="6">
        <v>80.79</v>
      </c>
      <c r="E56" s="6">
        <v>81.84</v>
      </c>
      <c r="F56" s="6">
        <v>79.58993</v>
      </c>
      <c r="G56" s="6">
        <v>2.31322E7</v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5">
        <v>44643.0</v>
      </c>
      <c r="B57" s="6">
        <v>83.34</v>
      </c>
      <c r="C57" s="6">
        <v>84.27</v>
      </c>
      <c r="D57" s="6">
        <v>83.05</v>
      </c>
      <c r="E57" s="6">
        <v>83.13</v>
      </c>
      <c r="F57" s="6">
        <v>80.84446</v>
      </c>
      <c r="G57" s="6">
        <v>2.77163E7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5">
        <v>44644.0</v>
      </c>
      <c r="B58" s="6">
        <v>83.46</v>
      </c>
      <c r="C58" s="6">
        <v>84.65</v>
      </c>
      <c r="D58" s="6">
        <v>82.75</v>
      </c>
      <c r="E58" s="6">
        <v>83.38</v>
      </c>
      <c r="F58" s="6">
        <v>81.08759</v>
      </c>
      <c r="G58" s="6">
        <v>1.98716E7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5">
        <v>44645.0</v>
      </c>
      <c r="B59" s="6">
        <v>82.92</v>
      </c>
      <c r="C59" s="6">
        <v>85.49</v>
      </c>
      <c r="D59" s="6">
        <v>82.79</v>
      </c>
      <c r="E59" s="6">
        <v>85.2</v>
      </c>
      <c r="F59" s="6">
        <v>82.85755</v>
      </c>
      <c r="G59" s="6">
        <v>2.23983E7</v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5">
        <v>44648.0</v>
      </c>
      <c r="B60" s="6">
        <v>83.17</v>
      </c>
      <c r="C60" s="6">
        <v>83.31</v>
      </c>
      <c r="D60" s="6">
        <v>82.02</v>
      </c>
      <c r="E60" s="6">
        <v>82.81</v>
      </c>
      <c r="F60" s="6">
        <v>80.53326</v>
      </c>
      <c r="G60" s="6">
        <v>2.15524E7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5">
        <v>44649.0</v>
      </c>
      <c r="B61" s="6">
        <v>80.81</v>
      </c>
      <c r="C61" s="6">
        <v>82.49</v>
      </c>
      <c r="D61" s="6">
        <v>79.76</v>
      </c>
      <c r="E61" s="6">
        <v>82.37</v>
      </c>
      <c r="F61" s="6">
        <v>80.10536</v>
      </c>
      <c r="G61" s="6">
        <v>2.70363E7</v>
      </c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5">
        <v>44650.0</v>
      </c>
      <c r="B62" s="6">
        <v>83.06</v>
      </c>
      <c r="C62" s="6">
        <v>84.01</v>
      </c>
      <c r="D62" s="6">
        <v>82.71</v>
      </c>
      <c r="E62" s="6">
        <v>83.78</v>
      </c>
      <c r="F62" s="6">
        <v>81.47659</v>
      </c>
      <c r="G62" s="6">
        <v>2.2079E7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5">
        <v>44651.0</v>
      </c>
      <c r="B63" s="6">
        <v>82.87</v>
      </c>
      <c r="C63" s="6">
        <v>84.4</v>
      </c>
      <c r="D63" s="6">
        <v>82.55</v>
      </c>
      <c r="E63" s="6">
        <v>82.59</v>
      </c>
      <c r="F63" s="6">
        <v>80.31931</v>
      </c>
      <c r="G63" s="6">
        <v>2.78615E7</v>
      </c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5">
        <v>44652.0</v>
      </c>
      <c r="B64" s="6">
        <v>81.99</v>
      </c>
      <c r="C64" s="6">
        <v>84.14</v>
      </c>
      <c r="D64" s="6">
        <v>81.99</v>
      </c>
      <c r="E64" s="6">
        <v>83.12</v>
      </c>
      <c r="F64" s="6">
        <v>80.83474</v>
      </c>
      <c r="G64" s="6">
        <v>1.86711E7</v>
      </c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5">
        <v>44655.0</v>
      </c>
      <c r="B65" s="6">
        <v>83.56</v>
      </c>
      <c r="C65" s="6">
        <v>83.66</v>
      </c>
      <c r="D65" s="6">
        <v>82.05</v>
      </c>
      <c r="E65" s="6">
        <v>83.16</v>
      </c>
      <c r="F65" s="6">
        <v>80.87365</v>
      </c>
      <c r="G65" s="6">
        <v>2.08694E7</v>
      </c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5">
        <v>44656.0</v>
      </c>
      <c r="B66" s="6">
        <v>83.5</v>
      </c>
      <c r="C66" s="6">
        <v>85.07</v>
      </c>
      <c r="D66" s="6">
        <v>82.56</v>
      </c>
      <c r="E66" s="6">
        <v>82.73</v>
      </c>
      <c r="F66" s="6">
        <v>80.45548</v>
      </c>
      <c r="G66" s="6">
        <v>2.17531E7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5">
        <v>44657.0</v>
      </c>
      <c r="B67" s="6">
        <v>83.42</v>
      </c>
      <c r="C67" s="6">
        <v>84.7</v>
      </c>
      <c r="D67" s="6">
        <v>82.94</v>
      </c>
      <c r="E67" s="6">
        <v>83.65</v>
      </c>
      <c r="F67" s="6">
        <v>81.35017</v>
      </c>
      <c r="G67" s="6">
        <v>2.47682E7</v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5">
        <v>44658.0</v>
      </c>
      <c r="B68" s="6">
        <v>83.83</v>
      </c>
      <c r="C68" s="6">
        <v>85.44</v>
      </c>
      <c r="D68" s="6">
        <v>82.71</v>
      </c>
      <c r="E68" s="6">
        <v>85.05</v>
      </c>
      <c r="F68" s="6">
        <v>82.71168</v>
      </c>
      <c r="G68" s="6">
        <v>2.6122E7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5">
        <v>44659.0</v>
      </c>
      <c r="B69" s="6">
        <v>85.17</v>
      </c>
      <c r="C69" s="6">
        <v>87.21</v>
      </c>
      <c r="D69" s="6">
        <v>85.17</v>
      </c>
      <c r="E69" s="6">
        <v>86.84</v>
      </c>
      <c r="F69" s="6">
        <v>84.45246</v>
      </c>
      <c r="G69" s="6">
        <v>2.48665E7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5">
        <v>44662.0</v>
      </c>
      <c r="B70" s="6">
        <v>85.78</v>
      </c>
      <c r="C70" s="6">
        <v>85.93</v>
      </c>
      <c r="D70" s="6">
        <v>83.5</v>
      </c>
      <c r="E70" s="6">
        <v>83.85</v>
      </c>
      <c r="F70" s="6">
        <v>81.54467</v>
      </c>
      <c r="G70" s="6">
        <v>2.18001E7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5">
        <v>44663.0</v>
      </c>
      <c r="B71" s="6">
        <v>85.71</v>
      </c>
      <c r="C71" s="6">
        <v>86.82</v>
      </c>
      <c r="D71" s="6">
        <v>85.38</v>
      </c>
      <c r="E71" s="6">
        <v>85.6</v>
      </c>
      <c r="F71" s="6">
        <v>83.24656</v>
      </c>
      <c r="G71" s="6">
        <v>2.24442E7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5">
        <v>44664.0</v>
      </c>
      <c r="B72" s="6">
        <v>86.61</v>
      </c>
      <c r="C72" s="6">
        <v>87.11</v>
      </c>
      <c r="D72" s="6">
        <v>85.19</v>
      </c>
      <c r="E72" s="6">
        <v>86.81</v>
      </c>
      <c r="F72" s="6">
        <v>84.42329</v>
      </c>
      <c r="G72" s="6">
        <v>1.93068E7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5">
        <v>44665.0</v>
      </c>
      <c r="B73" s="6">
        <v>86.67</v>
      </c>
      <c r="C73" s="6">
        <v>88.46</v>
      </c>
      <c r="D73" s="6">
        <v>86.23</v>
      </c>
      <c r="E73" s="6">
        <v>87.83</v>
      </c>
      <c r="F73" s="6">
        <v>85.41525</v>
      </c>
      <c r="G73" s="6">
        <v>2.45664E7</v>
      </c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5">
        <v>44669.0</v>
      </c>
      <c r="B74" s="6">
        <v>88.5</v>
      </c>
      <c r="C74" s="6">
        <v>88.89</v>
      </c>
      <c r="D74" s="6">
        <v>87.75</v>
      </c>
      <c r="E74" s="6">
        <v>88.55</v>
      </c>
      <c r="F74" s="6">
        <v>86.11546</v>
      </c>
      <c r="G74" s="6">
        <v>1.90323E7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5">
        <v>44670.0</v>
      </c>
      <c r="B75" s="6">
        <v>88.01</v>
      </c>
      <c r="C75" s="6">
        <v>88.66</v>
      </c>
      <c r="D75" s="6">
        <v>87.27</v>
      </c>
      <c r="E75" s="6">
        <v>87.76</v>
      </c>
      <c r="F75" s="6">
        <v>85.34718</v>
      </c>
      <c r="G75" s="6">
        <v>2.03826E7</v>
      </c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5">
        <v>44671.0</v>
      </c>
      <c r="B76" s="6">
        <v>87.97</v>
      </c>
      <c r="C76" s="6">
        <v>88.5</v>
      </c>
      <c r="D76" s="6">
        <v>87.3</v>
      </c>
      <c r="E76" s="6">
        <v>87.96</v>
      </c>
      <c r="F76" s="6">
        <v>85.54166</v>
      </c>
      <c r="G76" s="6">
        <v>2.06894E7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5">
        <v>44672.0</v>
      </c>
      <c r="B77" s="6">
        <v>88.95</v>
      </c>
      <c r="C77" s="6">
        <v>89.8</v>
      </c>
      <c r="D77" s="6">
        <v>86.79</v>
      </c>
      <c r="E77" s="6">
        <v>87.03</v>
      </c>
      <c r="F77" s="6">
        <v>84.63724</v>
      </c>
      <c r="G77" s="6">
        <v>2.90109E7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5">
        <v>44673.0</v>
      </c>
      <c r="B78" s="6">
        <v>86.66</v>
      </c>
      <c r="C78" s="6">
        <v>88.12</v>
      </c>
      <c r="D78" s="6">
        <v>85.0</v>
      </c>
      <c r="E78" s="6">
        <v>85.13</v>
      </c>
      <c r="F78" s="6">
        <v>82.78947</v>
      </c>
      <c r="G78" s="6">
        <v>2.35916E7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5">
        <v>44676.0</v>
      </c>
      <c r="B79" s="6">
        <v>82.37</v>
      </c>
      <c r="C79" s="6">
        <v>82.66</v>
      </c>
      <c r="D79" s="6">
        <v>79.29</v>
      </c>
      <c r="E79" s="6">
        <v>82.26</v>
      </c>
      <c r="F79" s="6">
        <v>79.99839</v>
      </c>
      <c r="G79" s="6">
        <v>3.76983E7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5">
        <v>44677.0</v>
      </c>
      <c r="B80" s="6">
        <v>82.73</v>
      </c>
      <c r="C80" s="6">
        <v>84.72</v>
      </c>
      <c r="D80" s="6">
        <v>82.18</v>
      </c>
      <c r="E80" s="6">
        <v>82.29</v>
      </c>
      <c r="F80" s="6">
        <v>80.02757</v>
      </c>
      <c r="G80" s="6">
        <v>2.89415E7</v>
      </c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5">
        <v>44678.0</v>
      </c>
      <c r="B81" s="6">
        <v>83.39</v>
      </c>
      <c r="C81" s="6">
        <v>85.48</v>
      </c>
      <c r="D81" s="6">
        <v>82.28</v>
      </c>
      <c r="E81" s="6">
        <v>84.64</v>
      </c>
      <c r="F81" s="6">
        <v>82.31294</v>
      </c>
      <c r="G81" s="6">
        <v>3.2773E7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5">
        <v>44679.0</v>
      </c>
      <c r="B82" s="6">
        <v>84.88</v>
      </c>
      <c r="C82" s="6">
        <v>88.14</v>
      </c>
      <c r="D82" s="6">
        <v>84.07</v>
      </c>
      <c r="E82" s="6">
        <v>87.2</v>
      </c>
      <c r="F82" s="6">
        <v>84.80257</v>
      </c>
      <c r="G82" s="6">
        <v>3.36838E7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5">
        <v>44680.0</v>
      </c>
      <c r="B83" s="6">
        <v>88.14</v>
      </c>
      <c r="C83" s="6">
        <v>88.14</v>
      </c>
      <c r="D83" s="6">
        <v>84.7</v>
      </c>
      <c r="E83" s="6">
        <v>85.25</v>
      </c>
      <c r="F83" s="6">
        <v>82.90618</v>
      </c>
      <c r="G83" s="6">
        <v>3.46565E7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5">
        <v>44683.0</v>
      </c>
      <c r="B84" s="6">
        <v>85.01</v>
      </c>
      <c r="C84" s="6">
        <v>87.04</v>
      </c>
      <c r="D84" s="6">
        <v>84.63</v>
      </c>
      <c r="E84" s="6">
        <v>86.41</v>
      </c>
      <c r="F84" s="6">
        <v>84.03429</v>
      </c>
      <c r="G84" s="6">
        <v>3.63352E7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5">
        <v>44684.0</v>
      </c>
      <c r="B85" s="6">
        <v>86.26</v>
      </c>
      <c r="C85" s="6">
        <v>88.78</v>
      </c>
      <c r="D85" s="6">
        <v>86.12</v>
      </c>
      <c r="E85" s="6">
        <v>88.19</v>
      </c>
      <c r="F85" s="6">
        <v>85.76534</v>
      </c>
      <c r="G85" s="6">
        <v>3.39081E7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5">
        <v>44685.0</v>
      </c>
      <c r="B86" s="6">
        <v>89.5</v>
      </c>
      <c r="C86" s="6">
        <v>91.88</v>
      </c>
      <c r="D86" s="6">
        <v>88.91</v>
      </c>
      <c r="E86" s="6">
        <v>91.7</v>
      </c>
      <c r="F86" s="6">
        <v>89.17884</v>
      </c>
      <c r="G86" s="6">
        <v>4.61884E7</v>
      </c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5">
        <v>44686.0</v>
      </c>
      <c r="B87" s="6">
        <v>92.04</v>
      </c>
      <c r="C87" s="6">
        <v>92.05</v>
      </c>
      <c r="D87" s="6">
        <v>88.39</v>
      </c>
      <c r="E87" s="6">
        <v>90.31</v>
      </c>
      <c r="F87" s="6">
        <v>87.82706</v>
      </c>
      <c r="G87" s="6">
        <v>4.10134E7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5">
        <v>44687.0</v>
      </c>
      <c r="B88" s="6">
        <v>90.98</v>
      </c>
      <c r="C88" s="6">
        <v>91.82</v>
      </c>
      <c r="D88" s="6">
        <v>89.35</v>
      </c>
      <c r="E88" s="6">
        <v>91.69</v>
      </c>
      <c r="F88" s="6">
        <v>89.16913</v>
      </c>
      <c r="G88" s="6">
        <v>2.96193E7</v>
      </c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5">
        <v>44690.0</v>
      </c>
      <c r="B89" s="6">
        <v>89.44</v>
      </c>
      <c r="C89" s="6">
        <v>89.56</v>
      </c>
      <c r="D89" s="6">
        <v>84.02</v>
      </c>
      <c r="E89" s="6">
        <v>84.46</v>
      </c>
      <c r="F89" s="6">
        <v>82.1379</v>
      </c>
      <c r="G89" s="6">
        <v>4.58516E7</v>
      </c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5">
        <v>44691.0</v>
      </c>
      <c r="B90" s="6">
        <v>85.64</v>
      </c>
      <c r="C90" s="6">
        <v>86.89</v>
      </c>
      <c r="D90" s="6">
        <v>83.52</v>
      </c>
      <c r="E90" s="6">
        <v>85.02</v>
      </c>
      <c r="F90" s="6">
        <v>82.6825</v>
      </c>
      <c r="G90" s="6">
        <v>3.44832E7</v>
      </c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5">
        <v>44692.0</v>
      </c>
      <c r="B91" s="6">
        <v>86.43</v>
      </c>
      <c r="C91" s="6">
        <v>88.94</v>
      </c>
      <c r="D91" s="6">
        <v>86.28</v>
      </c>
      <c r="E91" s="6">
        <v>86.79</v>
      </c>
      <c r="F91" s="6">
        <v>84.40384</v>
      </c>
      <c r="G91" s="6">
        <v>3.30206E7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5">
        <v>44693.0</v>
      </c>
      <c r="B92" s="6">
        <v>85.95</v>
      </c>
      <c r="C92" s="6">
        <v>86.38</v>
      </c>
      <c r="D92" s="6">
        <v>83.4</v>
      </c>
      <c r="E92" s="6">
        <v>86.3</v>
      </c>
      <c r="F92" s="6">
        <v>84.787</v>
      </c>
      <c r="G92" s="6">
        <v>2.94915E7</v>
      </c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5">
        <v>44694.0</v>
      </c>
      <c r="B93" s="6">
        <v>87.36</v>
      </c>
      <c r="C93" s="6">
        <v>88.95</v>
      </c>
      <c r="D93" s="6">
        <v>86.35</v>
      </c>
      <c r="E93" s="6">
        <v>88.86</v>
      </c>
      <c r="F93" s="6">
        <v>87.30212</v>
      </c>
      <c r="G93" s="6">
        <v>2.57984E7</v>
      </c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5">
        <v>44697.0</v>
      </c>
      <c r="B94" s="6">
        <v>88.98</v>
      </c>
      <c r="C94" s="6">
        <v>91.98</v>
      </c>
      <c r="D94" s="6">
        <v>88.97</v>
      </c>
      <c r="E94" s="6">
        <v>90.95</v>
      </c>
      <c r="F94" s="6">
        <v>89.35548</v>
      </c>
      <c r="G94" s="6">
        <v>2.61012E7</v>
      </c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5">
        <v>44698.0</v>
      </c>
      <c r="B95" s="6">
        <v>91.73</v>
      </c>
      <c r="C95" s="6">
        <v>92.45</v>
      </c>
      <c r="D95" s="6">
        <v>91.12</v>
      </c>
      <c r="E95" s="6">
        <v>92.11</v>
      </c>
      <c r="F95" s="6">
        <v>90.49514</v>
      </c>
      <c r="G95" s="6">
        <v>2.31207E7</v>
      </c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5">
        <v>44699.0</v>
      </c>
      <c r="B96" s="6">
        <v>92.51</v>
      </c>
      <c r="C96" s="6">
        <v>92.92</v>
      </c>
      <c r="D96" s="6">
        <v>89.83</v>
      </c>
      <c r="E96" s="6">
        <v>90.65</v>
      </c>
      <c r="F96" s="6">
        <v>89.06075</v>
      </c>
      <c r="G96" s="6">
        <v>2.54512E7</v>
      </c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5">
        <v>44700.0</v>
      </c>
      <c r="B97" s="6">
        <v>89.0</v>
      </c>
      <c r="C97" s="6">
        <v>92.3</v>
      </c>
      <c r="D97" s="6">
        <v>89.0</v>
      </c>
      <c r="E97" s="6">
        <v>91.14</v>
      </c>
      <c r="F97" s="6">
        <v>89.54215</v>
      </c>
      <c r="G97" s="6">
        <v>2.43874E7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5">
        <v>44701.0</v>
      </c>
      <c r="B98" s="6">
        <v>91.93</v>
      </c>
      <c r="C98" s="6">
        <v>93.59</v>
      </c>
      <c r="D98" s="6">
        <v>90.4</v>
      </c>
      <c r="E98" s="6">
        <v>91.86</v>
      </c>
      <c r="F98" s="6">
        <v>90.24953</v>
      </c>
      <c r="G98" s="6">
        <v>2.8795E7</v>
      </c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5">
        <v>44704.0</v>
      </c>
      <c r="B99" s="6">
        <v>92.66</v>
      </c>
      <c r="C99" s="6">
        <v>94.77</v>
      </c>
      <c r="D99" s="6">
        <v>92.55</v>
      </c>
      <c r="E99" s="6">
        <v>93.89</v>
      </c>
      <c r="F99" s="6">
        <v>92.24394</v>
      </c>
      <c r="G99" s="6">
        <v>2.72393E7</v>
      </c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5">
        <v>44705.0</v>
      </c>
      <c r="B100" s="6">
        <v>92.82</v>
      </c>
      <c r="C100" s="6">
        <v>94.79</v>
      </c>
      <c r="D100" s="6">
        <v>92.32</v>
      </c>
      <c r="E100" s="6">
        <v>94.4</v>
      </c>
      <c r="F100" s="6">
        <v>92.745</v>
      </c>
      <c r="G100" s="6">
        <v>2.42933E7</v>
      </c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5">
        <v>44706.0</v>
      </c>
      <c r="B101" s="6">
        <v>94.58</v>
      </c>
      <c r="C101" s="6">
        <v>96.53</v>
      </c>
      <c r="D101" s="6">
        <v>94.47</v>
      </c>
      <c r="E101" s="6">
        <v>96.3</v>
      </c>
      <c r="F101" s="6">
        <v>94.61168</v>
      </c>
      <c r="G101" s="6">
        <v>2.99478E7</v>
      </c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5">
        <v>44707.0</v>
      </c>
      <c r="B102" s="6">
        <v>96.6</v>
      </c>
      <c r="C102" s="6">
        <v>97.43</v>
      </c>
      <c r="D102" s="6">
        <v>96.2</v>
      </c>
      <c r="E102" s="6">
        <v>96.64</v>
      </c>
      <c r="F102" s="6">
        <v>94.94572</v>
      </c>
      <c r="G102" s="6">
        <v>2.43148E7</v>
      </c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5">
        <v>44708.0</v>
      </c>
      <c r="B103" s="6">
        <v>95.95</v>
      </c>
      <c r="C103" s="6">
        <v>97.93</v>
      </c>
      <c r="D103" s="6">
        <v>95.3</v>
      </c>
      <c r="E103" s="6">
        <v>97.59</v>
      </c>
      <c r="F103" s="6">
        <v>95.87906</v>
      </c>
      <c r="G103" s="6">
        <v>2.55888E7</v>
      </c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5">
        <v>44712.0</v>
      </c>
      <c r="B104" s="6">
        <v>98.56</v>
      </c>
      <c r="C104" s="6">
        <v>99.78</v>
      </c>
      <c r="D104" s="6">
        <v>95.71</v>
      </c>
      <c r="E104" s="6">
        <v>96.0</v>
      </c>
      <c r="F104" s="6">
        <v>94.31695</v>
      </c>
      <c r="G104" s="6">
        <v>4.48881E7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5">
        <v>44713.0</v>
      </c>
      <c r="B105" s="6">
        <v>97.02</v>
      </c>
      <c r="C105" s="6">
        <v>98.71</v>
      </c>
      <c r="D105" s="6">
        <v>96.62</v>
      </c>
      <c r="E105" s="6">
        <v>97.84</v>
      </c>
      <c r="F105" s="6">
        <v>96.12468</v>
      </c>
      <c r="G105" s="6">
        <v>2.58154E7</v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5">
        <v>44714.0</v>
      </c>
      <c r="B106" s="6">
        <v>97.29</v>
      </c>
      <c r="C106" s="6">
        <v>98.1</v>
      </c>
      <c r="D106" s="6">
        <v>96.79</v>
      </c>
      <c r="E106" s="6">
        <v>97.67</v>
      </c>
      <c r="F106" s="6">
        <v>95.95766</v>
      </c>
      <c r="G106" s="6">
        <v>1.90891E7</v>
      </c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5">
        <v>44715.0</v>
      </c>
      <c r="B107" s="6">
        <v>97.9</v>
      </c>
      <c r="C107" s="6">
        <v>99.66</v>
      </c>
      <c r="D107" s="6">
        <v>97.9</v>
      </c>
      <c r="E107" s="6">
        <v>99.09</v>
      </c>
      <c r="F107" s="6">
        <v>97.35277</v>
      </c>
      <c r="G107" s="6">
        <v>2.10382E7</v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5">
        <v>44718.0</v>
      </c>
      <c r="B108" s="6">
        <v>99.18</v>
      </c>
      <c r="C108" s="6">
        <v>99.78</v>
      </c>
      <c r="D108" s="6">
        <v>98.67</v>
      </c>
      <c r="E108" s="6">
        <v>98.84</v>
      </c>
      <c r="F108" s="6">
        <v>97.10715</v>
      </c>
      <c r="G108" s="6">
        <v>2.06821E7</v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5">
        <v>44719.0</v>
      </c>
      <c r="B109" s="6">
        <v>99.7</v>
      </c>
      <c r="C109" s="6">
        <v>103.43</v>
      </c>
      <c r="D109" s="6">
        <v>99.49</v>
      </c>
      <c r="E109" s="6">
        <v>103.37</v>
      </c>
      <c r="F109" s="6">
        <v>101.5577</v>
      </c>
      <c r="G109" s="6">
        <v>3.78102E7</v>
      </c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5">
        <v>44720.0</v>
      </c>
      <c r="B110" s="6">
        <v>103.49</v>
      </c>
      <c r="C110" s="6">
        <v>105.57</v>
      </c>
      <c r="D110" s="6">
        <v>102.98</v>
      </c>
      <c r="E110" s="6">
        <v>104.59</v>
      </c>
      <c r="F110" s="6">
        <v>102.7563</v>
      </c>
      <c r="G110" s="6">
        <v>3.16132E7</v>
      </c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5">
        <v>44721.0</v>
      </c>
      <c r="B111" s="6">
        <v>103.42</v>
      </c>
      <c r="C111" s="6">
        <v>104.57</v>
      </c>
      <c r="D111" s="6">
        <v>102.16</v>
      </c>
      <c r="E111" s="6">
        <v>102.33</v>
      </c>
      <c r="F111" s="6">
        <v>100.536</v>
      </c>
      <c r="G111" s="6">
        <v>2.6607E7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5">
        <v>44722.0</v>
      </c>
      <c r="B112" s="6">
        <v>101.94</v>
      </c>
      <c r="C112" s="6">
        <v>103.35</v>
      </c>
      <c r="D112" s="6">
        <v>99.79</v>
      </c>
      <c r="E112" s="6">
        <v>100.46</v>
      </c>
      <c r="F112" s="6">
        <v>98.69875</v>
      </c>
      <c r="G112" s="6">
        <v>3.09505E7</v>
      </c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5">
        <v>44725.0</v>
      </c>
      <c r="B113" s="6">
        <v>97.52</v>
      </c>
      <c r="C113" s="6">
        <v>97.77</v>
      </c>
      <c r="D113" s="6">
        <v>93.92</v>
      </c>
      <c r="E113" s="6">
        <v>95.85</v>
      </c>
      <c r="F113" s="6">
        <v>94.16957</v>
      </c>
      <c r="G113" s="6">
        <v>3.3421E7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5">
        <v>44726.0</v>
      </c>
      <c r="B114" s="6">
        <v>97.41</v>
      </c>
      <c r="C114" s="6">
        <v>98.67</v>
      </c>
      <c r="D114" s="6">
        <v>95.27</v>
      </c>
      <c r="E114" s="6">
        <v>96.1</v>
      </c>
      <c r="F114" s="6">
        <v>94.41519</v>
      </c>
      <c r="G114" s="6">
        <v>3.1264E7</v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5">
        <v>44727.0</v>
      </c>
      <c r="B115" s="6">
        <v>95.99</v>
      </c>
      <c r="C115" s="6">
        <v>96.57</v>
      </c>
      <c r="D115" s="6">
        <v>93.27</v>
      </c>
      <c r="E115" s="6">
        <v>94.89</v>
      </c>
      <c r="F115" s="6">
        <v>93.2264</v>
      </c>
      <c r="G115" s="6">
        <v>2.96208E7</v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5">
        <v>44728.0</v>
      </c>
      <c r="B116" s="6">
        <v>92.41</v>
      </c>
      <c r="C116" s="6">
        <v>93.13</v>
      </c>
      <c r="D116" s="6">
        <v>90.28</v>
      </c>
      <c r="E116" s="6">
        <v>91.39</v>
      </c>
      <c r="F116" s="6">
        <v>89.78777</v>
      </c>
      <c r="G116" s="6">
        <v>3.56967E7</v>
      </c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5">
        <v>44729.0</v>
      </c>
      <c r="B117" s="6">
        <v>90.96</v>
      </c>
      <c r="C117" s="6">
        <v>91.35</v>
      </c>
      <c r="D117" s="6">
        <v>85.66</v>
      </c>
      <c r="E117" s="6">
        <v>86.12</v>
      </c>
      <c r="F117" s="6">
        <v>84.61016</v>
      </c>
      <c r="G117" s="6">
        <v>6.46102E7</v>
      </c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5">
        <v>44733.0</v>
      </c>
      <c r="B118" s="6">
        <v>88.58</v>
      </c>
      <c r="C118" s="6">
        <v>92.53</v>
      </c>
      <c r="D118" s="6">
        <v>88.52</v>
      </c>
      <c r="E118" s="6">
        <v>91.48</v>
      </c>
      <c r="F118" s="6">
        <v>89.87619</v>
      </c>
      <c r="G118" s="6">
        <v>3.59515E7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5">
        <v>44734.0</v>
      </c>
      <c r="B119" s="6">
        <v>87.54</v>
      </c>
      <c r="C119" s="6">
        <v>89.76</v>
      </c>
      <c r="D119" s="6">
        <v>87.53</v>
      </c>
      <c r="E119" s="6">
        <v>87.86</v>
      </c>
      <c r="F119" s="6">
        <v>86.31965</v>
      </c>
      <c r="G119" s="6">
        <v>2.97272E7</v>
      </c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5">
        <v>44735.0</v>
      </c>
      <c r="B120" s="6">
        <v>88.66</v>
      </c>
      <c r="C120" s="6">
        <v>89.05</v>
      </c>
      <c r="D120" s="6">
        <v>83.52</v>
      </c>
      <c r="E120" s="6">
        <v>85.21</v>
      </c>
      <c r="F120" s="6">
        <v>83.71611</v>
      </c>
      <c r="G120" s="6">
        <v>3.57572E7</v>
      </c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5">
        <v>44736.0</v>
      </c>
      <c r="B121" s="6">
        <v>86.95</v>
      </c>
      <c r="C121" s="6">
        <v>88.4</v>
      </c>
      <c r="D121" s="6">
        <v>85.81</v>
      </c>
      <c r="E121" s="6">
        <v>86.9</v>
      </c>
      <c r="F121" s="6">
        <v>85.37649</v>
      </c>
      <c r="G121" s="6">
        <v>2.6639E7</v>
      </c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5">
        <v>44739.0</v>
      </c>
      <c r="B122" s="6">
        <v>87.81</v>
      </c>
      <c r="C122" s="6">
        <v>90.04</v>
      </c>
      <c r="D122" s="6">
        <v>87.67</v>
      </c>
      <c r="E122" s="6">
        <v>89.03</v>
      </c>
      <c r="F122" s="6">
        <v>87.46914</v>
      </c>
      <c r="G122" s="6">
        <v>2.54787E7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5">
        <v>44740.0</v>
      </c>
      <c r="B123" s="6">
        <v>91.12</v>
      </c>
      <c r="C123" s="6">
        <v>93.24</v>
      </c>
      <c r="D123" s="6">
        <v>90.35</v>
      </c>
      <c r="E123" s="6">
        <v>91.5</v>
      </c>
      <c r="F123" s="6">
        <v>89.89584</v>
      </c>
      <c r="G123" s="6">
        <v>3.30969E7</v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5">
        <v>44741.0</v>
      </c>
      <c r="B124" s="6">
        <v>92.98</v>
      </c>
      <c r="C124" s="6">
        <v>93.2</v>
      </c>
      <c r="D124" s="6">
        <v>87.76</v>
      </c>
      <c r="E124" s="6">
        <v>88.12</v>
      </c>
      <c r="F124" s="6">
        <v>86.5751</v>
      </c>
      <c r="G124" s="6">
        <v>2.54009E7</v>
      </c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5">
        <v>44742.0</v>
      </c>
      <c r="B125" s="6">
        <v>86.14</v>
      </c>
      <c r="C125" s="6">
        <v>87.6</v>
      </c>
      <c r="D125" s="6">
        <v>84.67</v>
      </c>
      <c r="E125" s="6">
        <v>85.64</v>
      </c>
      <c r="F125" s="6">
        <v>84.13857</v>
      </c>
      <c r="G125" s="6">
        <v>3.99481E7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5">
        <v>44743.0</v>
      </c>
      <c r="B126" s="6">
        <v>86.74</v>
      </c>
      <c r="C126" s="6">
        <v>87.88</v>
      </c>
      <c r="D126" s="6">
        <v>84.71</v>
      </c>
      <c r="E126" s="6">
        <v>87.55</v>
      </c>
      <c r="F126" s="6">
        <v>86.01508</v>
      </c>
      <c r="G126" s="6">
        <v>2.63279E7</v>
      </c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5">
        <v>44747.0</v>
      </c>
      <c r="B127" s="6">
        <v>86.34</v>
      </c>
      <c r="C127" s="6">
        <v>86.7</v>
      </c>
      <c r="D127" s="6">
        <v>83.01</v>
      </c>
      <c r="E127" s="6">
        <v>84.81</v>
      </c>
      <c r="F127" s="6">
        <v>83.32312</v>
      </c>
      <c r="G127" s="6">
        <v>3.45911E7</v>
      </c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5">
        <v>44748.0</v>
      </c>
      <c r="B128" s="6">
        <v>83.76</v>
      </c>
      <c r="C128" s="6">
        <v>85.23</v>
      </c>
      <c r="D128" s="6">
        <v>81.01</v>
      </c>
      <c r="E128" s="6">
        <v>83.28</v>
      </c>
      <c r="F128" s="6">
        <v>81.81995</v>
      </c>
      <c r="G128" s="6">
        <v>3.33757E7</v>
      </c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5">
        <v>44749.0</v>
      </c>
      <c r="B129" s="6">
        <v>85.38</v>
      </c>
      <c r="C129" s="6">
        <v>86.76</v>
      </c>
      <c r="D129" s="6">
        <v>85.3</v>
      </c>
      <c r="E129" s="6">
        <v>85.94</v>
      </c>
      <c r="F129" s="6">
        <v>84.43332</v>
      </c>
      <c r="G129" s="6">
        <v>2.38174E7</v>
      </c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5">
        <v>44750.0</v>
      </c>
      <c r="B130" s="6">
        <v>86.95</v>
      </c>
      <c r="C130" s="6">
        <v>87.3</v>
      </c>
      <c r="D130" s="6">
        <v>84.93</v>
      </c>
      <c r="E130" s="6">
        <v>86.08</v>
      </c>
      <c r="F130" s="6">
        <v>84.57086</v>
      </c>
      <c r="G130" s="6">
        <v>1.76738E7</v>
      </c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5">
        <v>44753.0</v>
      </c>
      <c r="B131" s="6">
        <v>85.17</v>
      </c>
      <c r="C131" s="6">
        <v>86.12</v>
      </c>
      <c r="D131" s="6">
        <v>84.36</v>
      </c>
      <c r="E131" s="6">
        <v>85.64</v>
      </c>
      <c r="F131" s="6">
        <v>84.13857</v>
      </c>
      <c r="G131" s="6">
        <v>1.56038E7</v>
      </c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5">
        <v>44754.0</v>
      </c>
      <c r="B132" s="6">
        <v>83.78</v>
      </c>
      <c r="C132" s="6">
        <v>85.05</v>
      </c>
      <c r="D132" s="6">
        <v>82.86</v>
      </c>
      <c r="E132" s="6">
        <v>84.5</v>
      </c>
      <c r="F132" s="6">
        <v>83.01856</v>
      </c>
      <c r="G132" s="6">
        <v>2.1013E7</v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5">
        <v>44755.0</v>
      </c>
      <c r="B133" s="6">
        <v>83.38</v>
      </c>
      <c r="C133" s="6">
        <v>86.31</v>
      </c>
      <c r="D133" s="6">
        <v>83.3</v>
      </c>
      <c r="E133" s="6">
        <v>84.84</v>
      </c>
      <c r="F133" s="6">
        <v>83.35259</v>
      </c>
      <c r="G133" s="6">
        <v>1.99286E7</v>
      </c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5">
        <v>44756.0</v>
      </c>
      <c r="B134" s="6">
        <v>81.85</v>
      </c>
      <c r="C134" s="6">
        <v>83.31</v>
      </c>
      <c r="D134" s="6">
        <v>80.69</v>
      </c>
      <c r="E134" s="6">
        <v>83.14</v>
      </c>
      <c r="F134" s="6">
        <v>81.6824</v>
      </c>
      <c r="G134" s="6">
        <v>2.6343E7</v>
      </c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5">
        <v>44757.0</v>
      </c>
      <c r="B135" s="6">
        <v>84.8</v>
      </c>
      <c r="C135" s="6">
        <v>84.88</v>
      </c>
      <c r="D135" s="6">
        <v>82.9</v>
      </c>
      <c r="E135" s="6">
        <v>84.54</v>
      </c>
      <c r="F135" s="6">
        <v>83.05785</v>
      </c>
      <c r="G135" s="6">
        <v>1.72437E7</v>
      </c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5">
        <v>44760.0</v>
      </c>
      <c r="B136" s="6">
        <v>86.58</v>
      </c>
      <c r="C136" s="6">
        <v>87.94</v>
      </c>
      <c r="D136" s="6">
        <v>85.75</v>
      </c>
      <c r="E136" s="6">
        <v>86.1</v>
      </c>
      <c r="F136" s="6">
        <v>84.59051</v>
      </c>
      <c r="G136" s="6">
        <v>1.93958E7</v>
      </c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5">
        <v>44761.0</v>
      </c>
      <c r="B137" s="6">
        <v>86.42</v>
      </c>
      <c r="C137" s="6">
        <v>88.52</v>
      </c>
      <c r="D137" s="6">
        <v>86.25</v>
      </c>
      <c r="E137" s="6">
        <v>88.27</v>
      </c>
      <c r="F137" s="6">
        <v>86.72246</v>
      </c>
      <c r="G137" s="6">
        <v>1.82489E7</v>
      </c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5">
        <v>44762.0</v>
      </c>
      <c r="B138" s="6">
        <v>87.58</v>
      </c>
      <c r="C138" s="6">
        <v>89.65</v>
      </c>
      <c r="D138" s="6">
        <v>87.25</v>
      </c>
      <c r="E138" s="6">
        <v>89.24</v>
      </c>
      <c r="F138" s="6">
        <v>87.67545</v>
      </c>
      <c r="G138" s="6">
        <v>1.65844E7</v>
      </c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5">
        <v>44763.0</v>
      </c>
      <c r="B139" s="6">
        <v>86.93</v>
      </c>
      <c r="C139" s="6">
        <v>87.8</v>
      </c>
      <c r="D139" s="6">
        <v>85.21</v>
      </c>
      <c r="E139" s="6">
        <v>87.75</v>
      </c>
      <c r="F139" s="6">
        <v>86.21158</v>
      </c>
      <c r="G139" s="6">
        <v>2.13757E7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5">
        <v>44764.0</v>
      </c>
      <c r="B140" s="6">
        <v>87.55</v>
      </c>
      <c r="C140" s="6">
        <v>88.47</v>
      </c>
      <c r="D140" s="6">
        <v>86.63</v>
      </c>
      <c r="E140" s="6">
        <v>87.08</v>
      </c>
      <c r="F140" s="6">
        <v>85.55332</v>
      </c>
      <c r="G140" s="6">
        <v>1.54795E7</v>
      </c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5">
        <v>44767.0</v>
      </c>
      <c r="B141" s="6">
        <v>88.16</v>
      </c>
      <c r="C141" s="6">
        <v>90.13</v>
      </c>
      <c r="D141" s="6">
        <v>87.42</v>
      </c>
      <c r="E141" s="6">
        <v>89.98</v>
      </c>
      <c r="F141" s="6">
        <v>88.40249</v>
      </c>
      <c r="G141" s="6">
        <v>1.75364E7</v>
      </c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5">
        <v>44768.0</v>
      </c>
      <c r="B142" s="6">
        <v>91.13</v>
      </c>
      <c r="C142" s="6">
        <v>91.28</v>
      </c>
      <c r="D142" s="6">
        <v>89.0</v>
      </c>
      <c r="E142" s="6">
        <v>89.63</v>
      </c>
      <c r="F142" s="6">
        <v>88.05862</v>
      </c>
      <c r="G142" s="6">
        <v>1.51412E7</v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5">
        <v>44769.0</v>
      </c>
      <c r="B143" s="6">
        <v>90.28</v>
      </c>
      <c r="C143" s="6">
        <v>92.0</v>
      </c>
      <c r="D143" s="6">
        <v>89.4</v>
      </c>
      <c r="E143" s="6">
        <v>91.57</v>
      </c>
      <c r="F143" s="6">
        <v>89.96462</v>
      </c>
      <c r="G143" s="6">
        <v>1.8047E7</v>
      </c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5">
        <v>44770.0</v>
      </c>
      <c r="B144" s="6">
        <v>92.18</v>
      </c>
      <c r="C144" s="6">
        <v>93.25</v>
      </c>
      <c r="D144" s="6">
        <v>91.01</v>
      </c>
      <c r="E144" s="6">
        <v>92.64</v>
      </c>
      <c r="F144" s="6">
        <v>91.01585</v>
      </c>
      <c r="G144" s="6">
        <v>2.03531E7</v>
      </c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5">
        <v>44771.0</v>
      </c>
      <c r="B145" s="6">
        <v>94.45</v>
      </c>
      <c r="C145" s="6">
        <v>97.52</v>
      </c>
      <c r="D145" s="6">
        <v>94.1</v>
      </c>
      <c r="E145" s="6">
        <v>96.93</v>
      </c>
      <c r="F145" s="6">
        <v>95.23064</v>
      </c>
      <c r="G145" s="6">
        <v>2.98258E7</v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5">
        <v>44774.0</v>
      </c>
      <c r="B146" s="6">
        <v>94.79</v>
      </c>
      <c r="C146" s="6">
        <v>95.35</v>
      </c>
      <c r="D146" s="6">
        <v>93.23</v>
      </c>
      <c r="E146" s="6">
        <v>94.48</v>
      </c>
      <c r="F146" s="6">
        <v>92.8236</v>
      </c>
      <c r="G146" s="6">
        <v>2.07932E7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5">
        <v>44775.0</v>
      </c>
      <c r="B147" s="6">
        <v>94.69</v>
      </c>
      <c r="C147" s="6">
        <v>95.2</v>
      </c>
      <c r="D147" s="6">
        <v>93.82</v>
      </c>
      <c r="E147" s="6">
        <v>94.07</v>
      </c>
      <c r="F147" s="6">
        <v>92.42078</v>
      </c>
      <c r="G147" s="6">
        <v>1.67225E7</v>
      </c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5">
        <v>44776.0</v>
      </c>
      <c r="B148" s="6">
        <v>94.42</v>
      </c>
      <c r="C148" s="6">
        <v>94.42</v>
      </c>
      <c r="D148" s="6">
        <v>90.79</v>
      </c>
      <c r="E148" s="6">
        <v>91.02</v>
      </c>
      <c r="F148" s="6">
        <v>89.42425</v>
      </c>
      <c r="G148" s="6">
        <v>2.35808E7</v>
      </c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5">
        <v>44777.0</v>
      </c>
      <c r="B149" s="6">
        <v>90.31</v>
      </c>
      <c r="C149" s="6">
        <v>90.34</v>
      </c>
      <c r="D149" s="6">
        <v>86.43</v>
      </c>
      <c r="E149" s="6">
        <v>87.19</v>
      </c>
      <c r="F149" s="6">
        <v>85.6614</v>
      </c>
      <c r="G149" s="6">
        <v>3.18215E7</v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5">
        <v>44778.0</v>
      </c>
      <c r="B150" s="6">
        <v>86.36</v>
      </c>
      <c r="C150" s="6">
        <v>89.69</v>
      </c>
      <c r="D150" s="6">
        <v>86.28</v>
      </c>
      <c r="E150" s="6">
        <v>88.45</v>
      </c>
      <c r="F150" s="6">
        <v>86.8993</v>
      </c>
      <c r="G150" s="6">
        <v>1.7408E7</v>
      </c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5">
        <v>44781.0</v>
      </c>
      <c r="B151" s="6">
        <v>88.61</v>
      </c>
      <c r="C151" s="6">
        <v>89.6</v>
      </c>
      <c r="D151" s="6">
        <v>88.22</v>
      </c>
      <c r="E151" s="6">
        <v>88.95</v>
      </c>
      <c r="F151" s="6">
        <v>87.39054</v>
      </c>
      <c r="G151" s="6">
        <v>1.44585E7</v>
      </c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5">
        <v>44782.0</v>
      </c>
      <c r="B152" s="6">
        <v>90.05</v>
      </c>
      <c r="C152" s="6">
        <v>91.61</v>
      </c>
      <c r="D152" s="6">
        <v>89.95</v>
      </c>
      <c r="E152" s="6">
        <v>90.59</v>
      </c>
      <c r="F152" s="6">
        <v>89.00179</v>
      </c>
      <c r="G152" s="6">
        <v>1.90834E7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5">
        <v>44783.0</v>
      </c>
      <c r="B153" s="6">
        <v>90.68</v>
      </c>
      <c r="C153" s="6">
        <v>91.79</v>
      </c>
      <c r="D153" s="6">
        <v>89.19</v>
      </c>
      <c r="E153" s="6">
        <v>91.45</v>
      </c>
      <c r="F153" s="6">
        <v>89.84671</v>
      </c>
      <c r="G153" s="6">
        <v>1.8302E7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5">
        <v>44784.0</v>
      </c>
      <c r="B154" s="6">
        <v>91.84</v>
      </c>
      <c r="C154" s="6">
        <v>94.3</v>
      </c>
      <c r="D154" s="6">
        <v>91.44</v>
      </c>
      <c r="E154" s="6">
        <v>93.19</v>
      </c>
      <c r="F154" s="6">
        <v>92.44579</v>
      </c>
      <c r="G154" s="6">
        <v>1.87979E7</v>
      </c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5">
        <v>44785.0</v>
      </c>
      <c r="B155" s="6">
        <v>92.48</v>
      </c>
      <c r="C155" s="6">
        <v>94.02</v>
      </c>
      <c r="D155" s="6">
        <v>92.11</v>
      </c>
      <c r="E155" s="6">
        <v>94.0</v>
      </c>
      <c r="F155" s="6">
        <v>93.24932</v>
      </c>
      <c r="G155" s="6">
        <v>1.50582E7</v>
      </c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5">
        <v>44788.0</v>
      </c>
      <c r="B156" s="6">
        <v>90.53</v>
      </c>
      <c r="C156" s="6">
        <v>92.73</v>
      </c>
      <c r="D156" s="6">
        <v>89.66</v>
      </c>
      <c r="E156" s="6">
        <v>92.32</v>
      </c>
      <c r="F156" s="6">
        <v>91.58273</v>
      </c>
      <c r="G156" s="6">
        <v>2.07552E7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5">
        <v>44789.0</v>
      </c>
      <c r="B157" s="6">
        <v>92.03</v>
      </c>
      <c r="C157" s="6">
        <v>92.89</v>
      </c>
      <c r="D157" s="6">
        <v>91.29</v>
      </c>
      <c r="E157" s="6">
        <v>91.46</v>
      </c>
      <c r="F157" s="6">
        <v>90.72961</v>
      </c>
      <c r="G157" s="6">
        <v>1.40382E7</v>
      </c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5">
        <v>44790.0</v>
      </c>
      <c r="B158" s="6">
        <v>91.27</v>
      </c>
      <c r="C158" s="6">
        <v>93.21</v>
      </c>
      <c r="D158" s="6">
        <v>90.92</v>
      </c>
      <c r="E158" s="6">
        <v>92.2</v>
      </c>
      <c r="F158" s="6">
        <v>91.46369</v>
      </c>
      <c r="G158" s="6">
        <v>1.3678E7</v>
      </c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5">
        <v>44791.0</v>
      </c>
      <c r="B159" s="6">
        <v>93.15</v>
      </c>
      <c r="C159" s="6">
        <v>95.31</v>
      </c>
      <c r="D159" s="6">
        <v>93.09</v>
      </c>
      <c r="E159" s="6">
        <v>94.38</v>
      </c>
      <c r="F159" s="6">
        <v>93.62628</v>
      </c>
      <c r="G159" s="6">
        <v>1.77704E7</v>
      </c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5">
        <v>44792.0</v>
      </c>
      <c r="B160" s="6">
        <v>94.16</v>
      </c>
      <c r="C160" s="6">
        <v>95.2</v>
      </c>
      <c r="D160" s="6">
        <v>93.8</v>
      </c>
      <c r="E160" s="6">
        <v>94.08</v>
      </c>
      <c r="F160" s="6">
        <v>93.32868</v>
      </c>
      <c r="G160" s="6">
        <v>1.61286E7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5">
        <v>44795.0</v>
      </c>
      <c r="B161" s="6">
        <v>93.42</v>
      </c>
      <c r="C161" s="6">
        <v>94.49</v>
      </c>
      <c r="D161" s="6">
        <v>91.86</v>
      </c>
      <c r="E161" s="6">
        <v>94.01</v>
      </c>
      <c r="F161" s="6">
        <v>93.25924</v>
      </c>
      <c r="G161" s="6">
        <v>1.60199E7</v>
      </c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5">
        <v>44796.0</v>
      </c>
      <c r="B162" s="6">
        <v>95.55</v>
      </c>
      <c r="C162" s="6">
        <v>98.41</v>
      </c>
      <c r="D162" s="6">
        <v>95.45</v>
      </c>
      <c r="E162" s="6">
        <v>98.0</v>
      </c>
      <c r="F162" s="6">
        <v>97.21738</v>
      </c>
      <c r="G162" s="6">
        <v>2.37647E7</v>
      </c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5">
        <v>44797.0</v>
      </c>
      <c r="B163" s="6">
        <v>98.01</v>
      </c>
      <c r="C163" s="6">
        <v>98.97</v>
      </c>
      <c r="D163" s="6">
        <v>97.36</v>
      </c>
      <c r="E163" s="6">
        <v>98.58</v>
      </c>
      <c r="F163" s="6">
        <v>97.79275</v>
      </c>
      <c r="G163" s="6">
        <v>1.70503E7</v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5">
        <v>44798.0</v>
      </c>
      <c r="B164" s="6">
        <v>98.92</v>
      </c>
      <c r="C164" s="6">
        <v>99.86</v>
      </c>
      <c r="D164" s="6">
        <v>98.1</v>
      </c>
      <c r="E164" s="6">
        <v>99.09</v>
      </c>
      <c r="F164" s="6">
        <v>98.29867</v>
      </c>
      <c r="G164" s="6">
        <v>1.53057E7</v>
      </c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5">
        <v>44799.0</v>
      </c>
      <c r="B165" s="6">
        <v>98.77</v>
      </c>
      <c r="C165" s="6">
        <v>99.91</v>
      </c>
      <c r="D165" s="6">
        <v>97.42</v>
      </c>
      <c r="E165" s="6">
        <v>97.87</v>
      </c>
      <c r="F165" s="6">
        <v>97.08842</v>
      </c>
      <c r="G165" s="6">
        <v>1.55314E7</v>
      </c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5">
        <v>44802.0</v>
      </c>
      <c r="B166" s="6">
        <v>98.18</v>
      </c>
      <c r="C166" s="6">
        <v>101.56</v>
      </c>
      <c r="D166" s="6">
        <v>98.14</v>
      </c>
      <c r="E166" s="6">
        <v>100.12</v>
      </c>
      <c r="F166" s="6">
        <v>99.32045</v>
      </c>
      <c r="G166" s="6">
        <v>2.30592E7</v>
      </c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5">
        <v>44803.0</v>
      </c>
      <c r="B167" s="6">
        <v>98.36</v>
      </c>
      <c r="C167" s="6">
        <v>98.62</v>
      </c>
      <c r="D167" s="6">
        <v>95.82</v>
      </c>
      <c r="E167" s="6">
        <v>96.31</v>
      </c>
      <c r="F167" s="6">
        <v>95.54087</v>
      </c>
      <c r="G167" s="6">
        <v>1.70868E7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5">
        <v>44804.0</v>
      </c>
      <c r="B168" s="6">
        <v>94.03</v>
      </c>
      <c r="C168" s="6">
        <v>96.84</v>
      </c>
      <c r="D168" s="6">
        <v>93.59</v>
      </c>
      <c r="E168" s="6">
        <v>95.59</v>
      </c>
      <c r="F168" s="6">
        <v>94.82662</v>
      </c>
      <c r="G168" s="6">
        <v>1.83409E7</v>
      </c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5">
        <v>44805.0</v>
      </c>
      <c r="B169" s="6">
        <v>94.42</v>
      </c>
      <c r="C169" s="6">
        <v>95.07</v>
      </c>
      <c r="D169" s="6">
        <v>92.29</v>
      </c>
      <c r="E169" s="6">
        <v>93.87</v>
      </c>
      <c r="F169" s="6">
        <v>93.12036</v>
      </c>
      <c r="G169" s="6">
        <v>1.6423E7</v>
      </c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5">
        <v>44806.0</v>
      </c>
      <c r="B170" s="6">
        <v>96.35</v>
      </c>
      <c r="C170" s="6">
        <v>96.79</v>
      </c>
      <c r="D170" s="6">
        <v>95.11</v>
      </c>
      <c r="E170" s="6">
        <v>95.59</v>
      </c>
      <c r="F170" s="6">
        <v>94.82662</v>
      </c>
      <c r="G170" s="6">
        <v>1.82068E7</v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5">
        <v>44810.0</v>
      </c>
      <c r="B171" s="6">
        <v>96.16</v>
      </c>
      <c r="C171" s="6">
        <v>96.59</v>
      </c>
      <c r="D171" s="6">
        <v>94.51</v>
      </c>
      <c r="E171" s="6">
        <v>94.95</v>
      </c>
      <c r="F171" s="6">
        <v>94.19173</v>
      </c>
      <c r="G171" s="6">
        <v>1.92015E7</v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5">
        <v>44811.0</v>
      </c>
      <c r="B172" s="6">
        <v>93.19</v>
      </c>
      <c r="C172" s="6">
        <v>94.59</v>
      </c>
      <c r="D172" s="6">
        <v>92.3</v>
      </c>
      <c r="E172" s="6">
        <v>94.14</v>
      </c>
      <c r="F172" s="6">
        <v>93.3882</v>
      </c>
      <c r="G172" s="6">
        <v>1.62747E7</v>
      </c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5">
        <v>44812.0</v>
      </c>
      <c r="B173" s="6">
        <v>94.66</v>
      </c>
      <c r="C173" s="6">
        <v>95.42</v>
      </c>
      <c r="D173" s="6">
        <v>93.72</v>
      </c>
      <c r="E173" s="6">
        <v>94.91</v>
      </c>
      <c r="F173" s="6">
        <v>94.15205</v>
      </c>
      <c r="G173" s="6">
        <v>1.87592E7</v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5">
        <v>44813.0</v>
      </c>
      <c r="B174" s="6">
        <v>96.52</v>
      </c>
      <c r="C174" s="6">
        <v>97.0</v>
      </c>
      <c r="D174" s="6">
        <v>95.32</v>
      </c>
      <c r="E174" s="6">
        <v>96.5</v>
      </c>
      <c r="F174" s="6">
        <v>95.72936</v>
      </c>
      <c r="G174" s="6">
        <v>1.7158E7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5">
        <v>44816.0</v>
      </c>
      <c r="B175" s="6">
        <v>97.65</v>
      </c>
      <c r="C175" s="6">
        <v>99.19</v>
      </c>
      <c r="D175" s="6">
        <v>96.88</v>
      </c>
      <c r="E175" s="6">
        <v>97.61</v>
      </c>
      <c r="F175" s="6">
        <v>96.83049</v>
      </c>
      <c r="G175" s="6">
        <v>1.61189E7</v>
      </c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5">
        <v>44817.0</v>
      </c>
      <c r="B176" s="6">
        <v>96.61</v>
      </c>
      <c r="C176" s="6">
        <v>97.78</v>
      </c>
      <c r="D176" s="6">
        <v>94.91</v>
      </c>
      <c r="E176" s="6">
        <v>95.33</v>
      </c>
      <c r="F176" s="6">
        <v>94.5687</v>
      </c>
      <c r="G176" s="6">
        <v>1.82291E7</v>
      </c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5">
        <v>44818.0</v>
      </c>
      <c r="B177" s="6">
        <v>96.19</v>
      </c>
      <c r="C177" s="6">
        <v>98.56</v>
      </c>
      <c r="D177" s="6">
        <v>96.15</v>
      </c>
      <c r="E177" s="6">
        <v>97.67</v>
      </c>
      <c r="F177" s="6">
        <v>96.89001</v>
      </c>
      <c r="G177" s="6">
        <v>2.26557E7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5">
        <v>44819.0</v>
      </c>
      <c r="B178" s="6">
        <v>96.22</v>
      </c>
      <c r="C178" s="6">
        <v>96.54</v>
      </c>
      <c r="D178" s="6">
        <v>94.05</v>
      </c>
      <c r="E178" s="6">
        <v>94.83</v>
      </c>
      <c r="F178" s="6">
        <v>94.07269</v>
      </c>
      <c r="G178" s="6">
        <v>2.10923E7</v>
      </c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5">
        <v>44820.0</v>
      </c>
      <c r="B179" s="6">
        <v>95.07</v>
      </c>
      <c r="C179" s="6">
        <v>95.34</v>
      </c>
      <c r="D179" s="6">
        <v>92.0</v>
      </c>
      <c r="E179" s="6">
        <v>93.21</v>
      </c>
      <c r="F179" s="6">
        <v>92.46563</v>
      </c>
      <c r="G179" s="6">
        <v>3.78747E7</v>
      </c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5">
        <v>44823.0</v>
      </c>
      <c r="B180" s="6">
        <v>91.01</v>
      </c>
      <c r="C180" s="6">
        <v>93.49</v>
      </c>
      <c r="D180" s="6">
        <v>91.0</v>
      </c>
      <c r="E180" s="6">
        <v>93.2</v>
      </c>
      <c r="F180" s="6">
        <v>92.4557</v>
      </c>
      <c r="G180" s="6">
        <v>1.53421E7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5">
        <v>44824.0</v>
      </c>
      <c r="B181" s="6">
        <v>92.73</v>
      </c>
      <c r="C181" s="6">
        <v>92.93</v>
      </c>
      <c r="D181" s="6">
        <v>91.64</v>
      </c>
      <c r="E181" s="6">
        <v>92.44</v>
      </c>
      <c r="F181" s="6">
        <v>91.70178</v>
      </c>
      <c r="G181" s="6">
        <v>1.47125E7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5">
        <v>44825.0</v>
      </c>
      <c r="B182" s="6">
        <v>93.57</v>
      </c>
      <c r="C182" s="6">
        <v>93.88</v>
      </c>
      <c r="D182" s="6">
        <v>90.87</v>
      </c>
      <c r="E182" s="6">
        <v>90.95</v>
      </c>
      <c r="F182" s="6">
        <v>90.22368</v>
      </c>
      <c r="G182" s="6">
        <v>1.73324E7</v>
      </c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5">
        <v>44826.0</v>
      </c>
      <c r="B183" s="6">
        <v>92.2</v>
      </c>
      <c r="C183" s="6">
        <v>92.66</v>
      </c>
      <c r="D183" s="6">
        <v>90.52</v>
      </c>
      <c r="E183" s="6">
        <v>90.57</v>
      </c>
      <c r="F183" s="6">
        <v>89.84671</v>
      </c>
      <c r="G183" s="6">
        <v>1.61394E7</v>
      </c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5">
        <v>44827.0</v>
      </c>
      <c r="B184" s="6">
        <v>87.5</v>
      </c>
      <c r="C184" s="6">
        <v>87.5</v>
      </c>
      <c r="D184" s="6">
        <v>84.85</v>
      </c>
      <c r="E184" s="6">
        <v>85.75</v>
      </c>
      <c r="F184" s="6">
        <v>85.06521</v>
      </c>
      <c r="G184" s="6">
        <v>2.77388E7</v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5">
        <v>44830.0</v>
      </c>
      <c r="B185" s="6">
        <v>84.9</v>
      </c>
      <c r="C185" s="6">
        <v>86.22</v>
      </c>
      <c r="D185" s="6">
        <v>83.89</v>
      </c>
      <c r="E185" s="6">
        <v>83.98</v>
      </c>
      <c r="F185" s="6">
        <v>83.30934</v>
      </c>
      <c r="G185" s="6">
        <v>2.20434E7</v>
      </c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5">
        <v>44831.0</v>
      </c>
      <c r="B186" s="6">
        <v>85.61</v>
      </c>
      <c r="C186" s="6">
        <v>86.96</v>
      </c>
      <c r="D186" s="6">
        <v>84.81</v>
      </c>
      <c r="E186" s="6">
        <v>85.74</v>
      </c>
      <c r="F186" s="6">
        <v>85.05528</v>
      </c>
      <c r="G186" s="6">
        <v>1.73073E7</v>
      </c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5">
        <v>44832.0</v>
      </c>
      <c r="B187" s="6">
        <v>86.12</v>
      </c>
      <c r="C187" s="6">
        <v>89.3</v>
      </c>
      <c r="D187" s="6">
        <v>85.92</v>
      </c>
      <c r="E187" s="6">
        <v>88.86</v>
      </c>
      <c r="F187" s="6">
        <v>88.15037</v>
      </c>
      <c r="G187" s="6">
        <v>1.95433E7</v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5">
        <v>44833.0</v>
      </c>
      <c r="B188" s="6">
        <v>88.18</v>
      </c>
      <c r="C188" s="6">
        <v>89.36</v>
      </c>
      <c r="D188" s="6">
        <v>87.13</v>
      </c>
      <c r="E188" s="6">
        <v>88.68</v>
      </c>
      <c r="F188" s="6">
        <v>87.97181</v>
      </c>
      <c r="G188" s="6">
        <v>1.7896E7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5">
        <v>44834.0</v>
      </c>
      <c r="B189" s="6">
        <v>88.17</v>
      </c>
      <c r="C189" s="6">
        <v>89.04</v>
      </c>
      <c r="D189" s="6">
        <v>87.31</v>
      </c>
      <c r="E189" s="6">
        <v>87.31</v>
      </c>
      <c r="F189" s="6">
        <v>86.61275</v>
      </c>
      <c r="G189" s="6">
        <v>2.13576E7</v>
      </c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5">
        <v>44837.0</v>
      </c>
      <c r="B190" s="6">
        <v>90.04</v>
      </c>
      <c r="C190" s="6">
        <v>92.36</v>
      </c>
      <c r="D190" s="6">
        <v>89.72</v>
      </c>
      <c r="E190" s="6">
        <v>91.92</v>
      </c>
      <c r="F190" s="6">
        <v>91.18593</v>
      </c>
      <c r="G190" s="6">
        <v>2.38813E7</v>
      </c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5">
        <v>44838.0</v>
      </c>
      <c r="B191" s="6">
        <v>93.24</v>
      </c>
      <c r="C191" s="6">
        <v>95.36</v>
      </c>
      <c r="D191" s="6">
        <v>92.71</v>
      </c>
      <c r="E191" s="6">
        <v>95.27</v>
      </c>
      <c r="F191" s="6">
        <v>94.50918</v>
      </c>
      <c r="G191" s="6">
        <v>2.21337E7</v>
      </c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5">
        <v>44839.0</v>
      </c>
      <c r="B192" s="6">
        <v>95.75</v>
      </c>
      <c r="C192" s="6">
        <v>99.99</v>
      </c>
      <c r="D192" s="6">
        <v>95.66</v>
      </c>
      <c r="E192" s="6">
        <v>99.12</v>
      </c>
      <c r="F192" s="6">
        <v>98.32844</v>
      </c>
      <c r="G192" s="6">
        <v>3.48577E7</v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5">
        <v>44840.0</v>
      </c>
      <c r="B193" s="6">
        <v>98.47</v>
      </c>
      <c r="C193" s="6">
        <v>102.18</v>
      </c>
      <c r="D193" s="6">
        <v>98.33</v>
      </c>
      <c r="E193" s="6">
        <v>102.06</v>
      </c>
      <c r="F193" s="6">
        <v>101.2449</v>
      </c>
      <c r="G193" s="6">
        <v>2.91247E7</v>
      </c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5">
        <v>44841.0</v>
      </c>
      <c r="B194" s="6">
        <v>102.19</v>
      </c>
      <c r="C194" s="6">
        <v>103.32</v>
      </c>
      <c r="D194" s="6">
        <v>100.18</v>
      </c>
      <c r="E194" s="6">
        <v>101.03</v>
      </c>
      <c r="F194" s="6">
        <v>100.2232</v>
      </c>
      <c r="G194" s="6">
        <v>2.45076E7</v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5">
        <v>44844.0</v>
      </c>
      <c r="B195" s="6">
        <v>101.49</v>
      </c>
      <c r="C195" s="6">
        <v>102.03</v>
      </c>
      <c r="D195" s="6">
        <v>98.72</v>
      </c>
      <c r="E195" s="6">
        <v>98.84</v>
      </c>
      <c r="F195" s="6">
        <v>98.05067</v>
      </c>
      <c r="G195" s="6">
        <v>1.67861E7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5">
        <v>44845.0</v>
      </c>
      <c r="B196" s="6">
        <v>97.22</v>
      </c>
      <c r="C196" s="6">
        <v>99.76</v>
      </c>
      <c r="D196" s="6">
        <v>96.75</v>
      </c>
      <c r="E196" s="6">
        <v>98.0</v>
      </c>
      <c r="F196" s="6">
        <v>97.21738</v>
      </c>
      <c r="G196" s="6">
        <v>1.78041E7</v>
      </c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5">
        <v>44846.0</v>
      </c>
      <c r="B197" s="6">
        <v>97.5</v>
      </c>
      <c r="C197" s="6">
        <v>98.91</v>
      </c>
      <c r="D197" s="6">
        <v>97.23</v>
      </c>
      <c r="E197" s="6">
        <v>98.43</v>
      </c>
      <c r="F197" s="6">
        <v>97.64394</v>
      </c>
      <c r="G197" s="6">
        <v>1.26358E7</v>
      </c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5">
        <v>44847.0</v>
      </c>
      <c r="B198" s="6">
        <v>97.55</v>
      </c>
      <c r="C198" s="6">
        <v>102.45</v>
      </c>
      <c r="D198" s="6">
        <v>97.4</v>
      </c>
      <c r="E198" s="6">
        <v>101.87</v>
      </c>
      <c r="F198" s="6">
        <v>101.0565</v>
      </c>
      <c r="G198" s="6">
        <v>2.20191E7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5">
        <v>44848.0</v>
      </c>
      <c r="B199" s="6">
        <v>101.12</v>
      </c>
      <c r="C199" s="6">
        <v>102.24</v>
      </c>
      <c r="D199" s="6">
        <v>99.04</v>
      </c>
      <c r="E199" s="6">
        <v>99.19</v>
      </c>
      <c r="F199" s="6">
        <v>98.39787</v>
      </c>
      <c r="G199" s="6">
        <v>1.5222E7</v>
      </c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5">
        <v>44851.0</v>
      </c>
      <c r="B200" s="6">
        <v>101.07</v>
      </c>
      <c r="C200" s="6">
        <v>101.97</v>
      </c>
      <c r="D200" s="6">
        <v>100.5</v>
      </c>
      <c r="E200" s="6">
        <v>100.62</v>
      </c>
      <c r="F200" s="6">
        <v>99.81646</v>
      </c>
      <c r="G200" s="6">
        <v>1.42832E7</v>
      </c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5">
        <v>44852.0</v>
      </c>
      <c r="B201" s="6">
        <v>101.54</v>
      </c>
      <c r="C201" s="6">
        <v>102.35</v>
      </c>
      <c r="D201" s="6">
        <v>99.23</v>
      </c>
      <c r="E201" s="6">
        <v>100.8</v>
      </c>
      <c r="F201" s="6">
        <v>99.99502</v>
      </c>
      <c r="G201" s="6">
        <v>1.40654E7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5">
        <v>44853.0</v>
      </c>
      <c r="B202" s="6">
        <v>101.25</v>
      </c>
      <c r="C202" s="6">
        <v>103.99</v>
      </c>
      <c r="D202" s="6">
        <v>101.23</v>
      </c>
      <c r="E202" s="6">
        <v>103.79</v>
      </c>
      <c r="F202" s="6">
        <v>102.9611</v>
      </c>
      <c r="G202" s="6">
        <v>2.09217E7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5">
        <v>44854.0</v>
      </c>
      <c r="B203" s="6">
        <v>104.32</v>
      </c>
      <c r="C203" s="6">
        <v>105.0</v>
      </c>
      <c r="D203" s="6">
        <v>103.41</v>
      </c>
      <c r="E203" s="6">
        <v>103.93</v>
      </c>
      <c r="F203" s="6">
        <v>103.1</v>
      </c>
      <c r="G203" s="6">
        <v>1.7649E7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5">
        <v>44855.0</v>
      </c>
      <c r="B204" s="6">
        <v>104.45</v>
      </c>
      <c r="C204" s="6">
        <v>106.4</v>
      </c>
      <c r="D204" s="6">
        <v>103.91</v>
      </c>
      <c r="E204" s="6">
        <v>105.86</v>
      </c>
      <c r="F204" s="6">
        <v>105.0146</v>
      </c>
      <c r="G204" s="6">
        <v>2.28141E7</v>
      </c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5">
        <v>44858.0</v>
      </c>
      <c r="B205" s="6">
        <v>105.66</v>
      </c>
      <c r="C205" s="6">
        <v>107.68</v>
      </c>
      <c r="D205" s="6">
        <v>105.12</v>
      </c>
      <c r="E205" s="6">
        <v>106.6</v>
      </c>
      <c r="F205" s="6">
        <v>105.7487</v>
      </c>
      <c r="G205" s="6">
        <v>1.70242E7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5">
        <v>44859.0</v>
      </c>
      <c r="B206" s="6">
        <v>106.41</v>
      </c>
      <c r="C206" s="6">
        <v>107.33</v>
      </c>
      <c r="D206" s="6">
        <v>105.07</v>
      </c>
      <c r="E206" s="6">
        <v>105.88</v>
      </c>
      <c r="F206" s="6">
        <v>105.0344</v>
      </c>
      <c r="G206" s="6">
        <v>1.57198E7</v>
      </c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5">
        <v>44860.0</v>
      </c>
      <c r="B207" s="6">
        <v>106.26</v>
      </c>
      <c r="C207" s="6">
        <v>107.83</v>
      </c>
      <c r="D207" s="6">
        <v>106.0</v>
      </c>
      <c r="E207" s="6">
        <v>107.14</v>
      </c>
      <c r="F207" s="6">
        <v>106.2844</v>
      </c>
      <c r="G207" s="6">
        <v>1.73838E7</v>
      </c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5">
        <v>44861.0</v>
      </c>
      <c r="B208" s="6">
        <v>108.41</v>
      </c>
      <c r="C208" s="6">
        <v>109.58</v>
      </c>
      <c r="D208" s="6">
        <v>107.42</v>
      </c>
      <c r="E208" s="6">
        <v>107.55</v>
      </c>
      <c r="F208" s="6">
        <v>106.6911</v>
      </c>
      <c r="G208" s="6">
        <v>1.8214E7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5">
        <v>44862.0</v>
      </c>
      <c r="B209" s="6">
        <v>109.46</v>
      </c>
      <c r="C209" s="6">
        <v>111.21</v>
      </c>
      <c r="D209" s="6">
        <v>108.12</v>
      </c>
      <c r="E209" s="6">
        <v>110.7</v>
      </c>
      <c r="F209" s="6">
        <v>109.816</v>
      </c>
      <c r="G209" s="6">
        <v>2.81694E7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5">
        <v>44865.0</v>
      </c>
      <c r="B210" s="6">
        <v>109.5</v>
      </c>
      <c r="C210" s="6">
        <v>112.91</v>
      </c>
      <c r="D210" s="6">
        <v>109.44</v>
      </c>
      <c r="E210" s="6">
        <v>110.81</v>
      </c>
      <c r="F210" s="6">
        <v>109.9251</v>
      </c>
      <c r="G210" s="6">
        <v>2.64018E7</v>
      </c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5">
        <v>44866.0</v>
      </c>
      <c r="B211" s="6">
        <v>112.37</v>
      </c>
      <c r="C211" s="6">
        <v>112.57</v>
      </c>
      <c r="D211" s="6">
        <v>110.65</v>
      </c>
      <c r="E211" s="6">
        <v>111.91</v>
      </c>
      <c r="F211" s="6">
        <v>111.0163</v>
      </c>
      <c r="G211" s="6">
        <v>2.22131E7</v>
      </c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5">
        <v>44867.0</v>
      </c>
      <c r="B212" s="6">
        <v>111.58</v>
      </c>
      <c r="C212" s="6">
        <v>112.1</v>
      </c>
      <c r="D212" s="6">
        <v>109.31</v>
      </c>
      <c r="E212" s="6">
        <v>109.61</v>
      </c>
      <c r="F212" s="6">
        <v>108.7347</v>
      </c>
      <c r="G212" s="6">
        <v>2.06542E7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5">
        <v>44868.0</v>
      </c>
      <c r="B213" s="6">
        <v>108.58</v>
      </c>
      <c r="C213" s="6">
        <v>111.82</v>
      </c>
      <c r="D213" s="6">
        <v>108.31</v>
      </c>
      <c r="E213" s="6">
        <v>111.1</v>
      </c>
      <c r="F213" s="6">
        <v>110.2128</v>
      </c>
      <c r="G213" s="6">
        <v>1.71037E7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5">
        <v>44869.0</v>
      </c>
      <c r="B214" s="6">
        <v>113.0</v>
      </c>
      <c r="C214" s="6">
        <v>113.5</v>
      </c>
      <c r="D214" s="6">
        <v>110.8</v>
      </c>
      <c r="E214" s="6">
        <v>112.31</v>
      </c>
      <c r="F214" s="6">
        <v>111.4131</v>
      </c>
      <c r="G214" s="6">
        <v>1.75415E7</v>
      </c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5">
        <v>44872.0</v>
      </c>
      <c r="B215" s="6">
        <v>112.41</v>
      </c>
      <c r="C215" s="6">
        <v>113.99</v>
      </c>
      <c r="D215" s="6">
        <v>112.13</v>
      </c>
      <c r="E215" s="6">
        <v>113.64</v>
      </c>
      <c r="F215" s="6">
        <v>112.7325</v>
      </c>
      <c r="G215" s="6">
        <v>1.6008E7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5">
        <v>44873.0</v>
      </c>
      <c r="B216" s="6">
        <v>113.48</v>
      </c>
      <c r="C216" s="6">
        <v>114.66</v>
      </c>
      <c r="D216" s="6">
        <v>112.6</v>
      </c>
      <c r="E216" s="6">
        <v>114.0</v>
      </c>
      <c r="F216" s="6">
        <v>113.0896</v>
      </c>
      <c r="G216" s="6">
        <v>1.4661E7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5">
        <v>44874.0</v>
      </c>
      <c r="B217" s="6">
        <v>113.1</v>
      </c>
      <c r="C217" s="6">
        <v>113.28</v>
      </c>
      <c r="D217" s="6">
        <v>108.57</v>
      </c>
      <c r="E217" s="6">
        <v>108.9</v>
      </c>
      <c r="F217" s="6">
        <v>108.0303</v>
      </c>
      <c r="G217" s="6">
        <v>1.95228E7</v>
      </c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5">
        <v>44875.0</v>
      </c>
      <c r="B218" s="6">
        <v>110.19</v>
      </c>
      <c r="C218" s="6">
        <v>110.7</v>
      </c>
      <c r="D218" s="6">
        <v>107.57</v>
      </c>
      <c r="E218" s="6">
        <v>110.5</v>
      </c>
      <c r="F218" s="6">
        <v>109.6176</v>
      </c>
      <c r="G218" s="6">
        <v>2.01467E7</v>
      </c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5">
        <v>44876.0</v>
      </c>
      <c r="B219" s="6">
        <v>112.58</v>
      </c>
      <c r="C219" s="6">
        <v>114.5</v>
      </c>
      <c r="D219" s="6">
        <v>112.49</v>
      </c>
      <c r="E219" s="6">
        <v>113.95</v>
      </c>
      <c r="F219" s="6">
        <v>113.04</v>
      </c>
      <c r="G219" s="6">
        <v>2.05189E7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5">
        <v>44879.0</v>
      </c>
      <c r="B220" s="6">
        <v>112.63</v>
      </c>
      <c r="C220" s="6">
        <v>114.64</v>
      </c>
      <c r="D220" s="6">
        <v>112.49</v>
      </c>
      <c r="E220" s="6">
        <v>113.37</v>
      </c>
      <c r="F220" s="6">
        <v>113.37</v>
      </c>
      <c r="G220" s="6">
        <v>2.08583E7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5">
        <v>44880.0</v>
      </c>
      <c r="B221" s="6">
        <v>113.8</v>
      </c>
      <c r="C221" s="6">
        <v>114.53</v>
      </c>
      <c r="D221" s="6">
        <v>112.87</v>
      </c>
      <c r="E221" s="6">
        <v>114.13</v>
      </c>
      <c r="F221" s="6">
        <v>114.13</v>
      </c>
      <c r="G221" s="6">
        <v>1.93738E7</v>
      </c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5">
        <v>44881.0</v>
      </c>
      <c r="B222" s="6">
        <v>113.44</v>
      </c>
      <c r="C222" s="6">
        <v>114.26</v>
      </c>
      <c r="D222" s="6">
        <v>111.86</v>
      </c>
      <c r="E222" s="6">
        <v>112.91</v>
      </c>
      <c r="F222" s="6">
        <v>112.91</v>
      </c>
      <c r="G222" s="6">
        <v>1.3591E7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5">
        <v>44882.0</v>
      </c>
      <c r="B223" s="6">
        <v>111.29</v>
      </c>
      <c r="C223" s="6">
        <v>113.2</v>
      </c>
      <c r="D223" s="6">
        <v>110.75</v>
      </c>
      <c r="E223" s="6">
        <v>113.06</v>
      </c>
      <c r="F223" s="6">
        <v>113.06</v>
      </c>
      <c r="G223" s="6">
        <v>1.24259E7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5">
        <v>44883.0</v>
      </c>
      <c r="B224" s="6">
        <v>110.9</v>
      </c>
      <c r="C224" s="6">
        <v>112.48</v>
      </c>
      <c r="D224" s="6">
        <v>109.61</v>
      </c>
      <c r="E224" s="6">
        <v>112.08</v>
      </c>
      <c r="F224" s="6">
        <v>112.08</v>
      </c>
      <c r="G224" s="6">
        <v>1.5415E7</v>
      </c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5">
        <v>44886.0</v>
      </c>
      <c r="B225" s="6">
        <v>109.99</v>
      </c>
      <c r="C225" s="6">
        <v>111.2</v>
      </c>
      <c r="D225" s="6">
        <v>107.48</v>
      </c>
      <c r="E225" s="6">
        <v>110.97</v>
      </c>
      <c r="F225" s="6">
        <v>110.97</v>
      </c>
      <c r="G225" s="6">
        <v>2.0973E7</v>
      </c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5">
        <v>44887.0</v>
      </c>
      <c r="B226" s="6">
        <v>112.21</v>
      </c>
      <c r="C226" s="6">
        <v>114.47</v>
      </c>
      <c r="D226" s="6">
        <v>111.43</v>
      </c>
      <c r="E226" s="6">
        <v>114.18</v>
      </c>
      <c r="F226" s="6">
        <v>114.18</v>
      </c>
      <c r="G226" s="6">
        <v>1.77191E7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5">
        <v>44888.0</v>
      </c>
      <c r="B227" s="6">
        <v>112.32</v>
      </c>
      <c r="C227" s="6">
        <v>113.95</v>
      </c>
      <c r="D227" s="6">
        <v>112.1</v>
      </c>
      <c r="E227" s="6">
        <v>113.61</v>
      </c>
      <c r="F227" s="6">
        <v>113.61</v>
      </c>
      <c r="G227" s="6">
        <v>1.15467E7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5">
        <v>44890.0</v>
      </c>
      <c r="B228" s="6">
        <v>113.88</v>
      </c>
      <c r="C228" s="6">
        <v>114.61</v>
      </c>
      <c r="D228" s="6">
        <v>113.06</v>
      </c>
      <c r="E228" s="6">
        <v>113.21</v>
      </c>
      <c r="F228" s="6">
        <v>113.21</v>
      </c>
      <c r="G228" s="6">
        <v>7136000.0</v>
      </c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5">
        <v>44893.0</v>
      </c>
      <c r="B229" s="6">
        <v>110.66</v>
      </c>
      <c r="C229" s="6">
        <v>111.46</v>
      </c>
      <c r="D229" s="6">
        <v>109.62</v>
      </c>
      <c r="E229" s="6">
        <v>109.81</v>
      </c>
      <c r="F229" s="6">
        <v>109.81</v>
      </c>
      <c r="G229" s="6">
        <v>2.30155E7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5">
        <v>44894.0</v>
      </c>
      <c r="B230" s="6">
        <v>110.61</v>
      </c>
      <c r="C230" s="6">
        <v>111.8</v>
      </c>
      <c r="D230" s="6">
        <v>109.79</v>
      </c>
      <c r="E230" s="6">
        <v>110.54</v>
      </c>
      <c r="F230" s="6">
        <v>110.54</v>
      </c>
      <c r="G230" s="6">
        <v>1.44532E7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5">
        <v>44895.0</v>
      </c>
      <c r="B231" s="6">
        <v>111.54</v>
      </c>
      <c r="C231" s="6">
        <v>111.9</v>
      </c>
      <c r="D231" s="6">
        <v>109.78</v>
      </c>
      <c r="E231" s="6">
        <v>111.34</v>
      </c>
      <c r="F231" s="6">
        <v>111.34</v>
      </c>
      <c r="G231" s="6">
        <v>2.31581E7</v>
      </c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5">
        <v>44896.0</v>
      </c>
      <c r="B232" s="6">
        <v>111.64</v>
      </c>
      <c r="C232" s="6">
        <v>112.07</v>
      </c>
      <c r="D232" s="6">
        <v>110.18</v>
      </c>
      <c r="E232" s="6">
        <v>110.8</v>
      </c>
      <c r="F232" s="6">
        <v>110.8</v>
      </c>
      <c r="G232" s="6">
        <v>1.43983E7</v>
      </c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5">
        <v>44897.0</v>
      </c>
      <c r="B233" s="6">
        <v>109.51</v>
      </c>
      <c r="C233" s="6">
        <v>111.71</v>
      </c>
      <c r="D233" s="6">
        <v>109.2</v>
      </c>
      <c r="E233" s="6">
        <v>109.86</v>
      </c>
      <c r="F233" s="6">
        <v>109.86</v>
      </c>
      <c r="G233" s="6">
        <v>1.52484E7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5">
        <v>44900.0</v>
      </c>
      <c r="B234" s="6">
        <v>110.7</v>
      </c>
      <c r="C234" s="6">
        <v>111.36</v>
      </c>
      <c r="D234" s="6">
        <v>105.94</v>
      </c>
      <c r="E234" s="6">
        <v>106.85</v>
      </c>
      <c r="F234" s="6">
        <v>106.85</v>
      </c>
      <c r="G234" s="6">
        <v>1.92877E7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5">
        <v>44901.0</v>
      </c>
      <c r="B235" s="6">
        <v>105.9</v>
      </c>
      <c r="C235" s="6">
        <v>107.04</v>
      </c>
      <c r="D235" s="6">
        <v>103.15</v>
      </c>
      <c r="E235" s="6">
        <v>103.88</v>
      </c>
      <c r="F235" s="6">
        <v>103.88</v>
      </c>
      <c r="G235" s="6">
        <v>2.1197E7</v>
      </c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5">
        <v>44902.0</v>
      </c>
      <c r="B236" s="6">
        <v>103.78</v>
      </c>
      <c r="C236" s="6">
        <v>104.85</v>
      </c>
      <c r="D236" s="6">
        <v>102.37</v>
      </c>
      <c r="E236" s="6">
        <v>103.65</v>
      </c>
      <c r="F236" s="6">
        <v>103.65</v>
      </c>
      <c r="G236" s="6">
        <v>2.00617E7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5">
        <v>44903.0</v>
      </c>
      <c r="B237" s="6">
        <v>106.28</v>
      </c>
      <c r="C237" s="6">
        <v>106.8</v>
      </c>
      <c r="D237" s="6">
        <v>103.71</v>
      </c>
      <c r="E237" s="6">
        <v>104.42</v>
      </c>
      <c r="F237" s="6">
        <v>104.42</v>
      </c>
      <c r="G237" s="6">
        <v>2.11288E7</v>
      </c>
      <c r="H237" s="31"/>
    </row>
    <row r="238">
      <c r="A238" s="5">
        <v>44904.0</v>
      </c>
      <c r="B238" s="6">
        <v>104.59</v>
      </c>
      <c r="C238" s="6">
        <v>105.95</v>
      </c>
      <c r="D238" s="6">
        <v>103.3</v>
      </c>
      <c r="E238" s="6">
        <v>103.54</v>
      </c>
      <c r="F238" s="6">
        <v>103.54</v>
      </c>
      <c r="G238" s="6">
        <v>2.12982E7</v>
      </c>
      <c r="H238" s="31"/>
    </row>
    <row r="239">
      <c r="A239" s="5">
        <v>44907.0</v>
      </c>
      <c r="B239" s="6">
        <v>103.83</v>
      </c>
      <c r="C239" s="6">
        <v>106.24</v>
      </c>
      <c r="D239" s="6">
        <v>103.59</v>
      </c>
      <c r="E239" s="6">
        <v>106.09</v>
      </c>
      <c r="F239" s="6">
        <v>106.09</v>
      </c>
      <c r="G239" s="6">
        <v>2.04132E7</v>
      </c>
      <c r="H239" s="31"/>
    </row>
    <row r="240">
      <c r="A240" s="5">
        <v>44908.0</v>
      </c>
      <c r="B240" s="6">
        <v>107.8</v>
      </c>
      <c r="C240" s="6">
        <v>108.54</v>
      </c>
      <c r="D240" s="6">
        <v>107.02</v>
      </c>
      <c r="E240" s="6">
        <v>107.25</v>
      </c>
      <c r="F240" s="6">
        <v>107.25</v>
      </c>
      <c r="G240" s="6">
        <v>2.43053E7</v>
      </c>
      <c r="H240" s="31"/>
    </row>
    <row r="241">
      <c r="A241" s="5">
        <v>44909.0</v>
      </c>
      <c r="B241" s="6">
        <v>107.99</v>
      </c>
      <c r="C241" s="6">
        <v>108.3</v>
      </c>
      <c r="D241" s="6">
        <v>105.75</v>
      </c>
      <c r="E241" s="6">
        <v>106.46</v>
      </c>
      <c r="F241" s="6">
        <v>106.46</v>
      </c>
      <c r="G241" s="6">
        <v>1.75973E7</v>
      </c>
      <c r="H241" s="31"/>
    </row>
    <row r="242">
      <c r="A242" s="5">
        <v>44910.0</v>
      </c>
      <c r="B242" s="6">
        <v>105.33</v>
      </c>
      <c r="C242" s="6">
        <v>106.17</v>
      </c>
      <c r="D242" s="6">
        <v>103.7</v>
      </c>
      <c r="E242" s="6">
        <v>105.44</v>
      </c>
      <c r="F242" s="6">
        <v>105.44</v>
      </c>
      <c r="G242" s="6">
        <v>1.53651E7</v>
      </c>
      <c r="H242" s="31"/>
    </row>
    <row r="243">
      <c r="A243" s="5">
        <v>44911.0</v>
      </c>
      <c r="B243" s="6">
        <v>103.69</v>
      </c>
      <c r="C243" s="6">
        <v>105.58</v>
      </c>
      <c r="D243" s="6">
        <v>103.13</v>
      </c>
      <c r="E243" s="6">
        <v>104.7</v>
      </c>
      <c r="F243" s="6">
        <v>104.7</v>
      </c>
      <c r="G243" s="6">
        <v>5.45966E7</v>
      </c>
      <c r="H243" s="31"/>
    </row>
    <row r="244">
      <c r="A244" s="5">
        <v>44914.0</v>
      </c>
      <c r="B244" s="6">
        <v>105.26</v>
      </c>
      <c r="C244" s="6">
        <v>106.2</v>
      </c>
      <c r="D244" s="6">
        <v>104.38</v>
      </c>
      <c r="E244" s="6">
        <v>105.17</v>
      </c>
      <c r="F244" s="6">
        <v>105.17</v>
      </c>
      <c r="G244" s="6">
        <v>1.36111E7</v>
      </c>
      <c r="H244" s="31"/>
    </row>
    <row r="245">
      <c r="A245" s="5">
        <v>44915.0</v>
      </c>
      <c r="B245" s="6">
        <v>105.17</v>
      </c>
      <c r="C245" s="6">
        <v>107.51</v>
      </c>
      <c r="D245" s="6">
        <v>105.07</v>
      </c>
      <c r="E245" s="6">
        <v>106.69</v>
      </c>
      <c r="F245" s="6">
        <v>106.69</v>
      </c>
      <c r="G245" s="6">
        <v>1.468E7</v>
      </c>
      <c r="H245" s="31"/>
    </row>
    <row r="246">
      <c r="A246" s="5">
        <v>44916.0</v>
      </c>
      <c r="B246" s="6">
        <v>108.29</v>
      </c>
      <c r="C246" s="6">
        <v>108.59</v>
      </c>
      <c r="D246" s="6">
        <v>107.16</v>
      </c>
      <c r="E246" s="6">
        <v>108.06</v>
      </c>
      <c r="F246" s="6">
        <v>108.06</v>
      </c>
      <c r="G246" s="6">
        <v>1.35654E7</v>
      </c>
      <c r="H246" s="31"/>
    </row>
    <row r="247">
      <c r="A247" s="5">
        <v>44917.0</v>
      </c>
      <c r="B247" s="6">
        <v>107.89</v>
      </c>
      <c r="C247" s="6">
        <v>108.19</v>
      </c>
      <c r="D247" s="6">
        <v>104.1</v>
      </c>
      <c r="E247" s="6">
        <v>105.88</v>
      </c>
      <c r="F247" s="6">
        <v>105.88</v>
      </c>
      <c r="G247" s="6">
        <v>1.3213E7</v>
      </c>
      <c r="H247" s="31"/>
    </row>
    <row r="248">
      <c r="A248" s="5">
        <v>44918.0</v>
      </c>
      <c r="B248" s="6">
        <v>106.95</v>
      </c>
      <c r="C248" s="6">
        <v>108.74</v>
      </c>
      <c r="D248" s="6">
        <v>106.9</v>
      </c>
      <c r="E248" s="6">
        <v>108.68</v>
      </c>
      <c r="F248" s="6">
        <v>108.68</v>
      </c>
      <c r="G248" s="6">
        <v>1.15394E7</v>
      </c>
      <c r="H248" s="31"/>
    </row>
    <row r="249">
      <c r="A249" s="5">
        <v>44922.0</v>
      </c>
      <c r="B249" s="6">
        <v>109.27</v>
      </c>
      <c r="C249" s="6">
        <v>110.47</v>
      </c>
      <c r="D249" s="6">
        <v>108.83</v>
      </c>
      <c r="E249" s="6">
        <v>110.19</v>
      </c>
      <c r="F249" s="6">
        <v>110.19</v>
      </c>
      <c r="G249" s="6">
        <v>1.19621E7</v>
      </c>
      <c r="H249" s="31"/>
    </row>
    <row r="250">
      <c r="A250" s="5">
        <v>44923.0</v>
      </c>
      <c r="B250" s="6">
        <v>109.91</v>
      </c>
      <c r="C250" s="6">
        <v>110.0</v>
      </c>
      <c r="D250" s="6">
        <v>107.9</v>
      </c>
      <c r="E250" s="6">
        <v>108.38</v>
      </c>
      <c r="F250" s="6">
        <v>108.38</v>
      </c>
      <c r="G250" s="6">
        <v>1.07021E7</v>
      </c>
      <c r="H250" s="31"/>
    </row>
    <row r="251">
      <c r="A251" s="5">
        <v>44924.0</v>
      </c>
      <c r="B251" s="6">
        <v>107.99</v>
      </c>
      <c r="C251" s="6">
        <v>109.72</v>
      </c>
      <c r="D251" s="6">
        <v>107.99</v>
      </c>
      <c r="E251" s="6">
        <v>109.2</v>
      </c>
      <c r="F251" s="6">
        <v>109.2</v>
      </c>
      <c r="G251" s="6">
        <v>1.0534E7</v>
      </c>
      <c r="H251" s="31"/>
    </row>
    <row r="252">
      <c r="A252" s="5">
        <v>44925.0</v>
      </c>
      <c r="B252" s="6">
        <v>108.61</v>
      </c>
      <c r="C252" s="6">
        <v>110.5</v>
      </c>
      <c r="D252" s="6">
        <v>108.61</v>
      </c>
      <c r="E252" s="6">
        <v>110.3</v>
      </c>
      <c r="F252" s="6">
        <v>110.3</v>
      </c>
      <c r="G252" s="6">
        <v>1.17933E7</v>
      </c>
      <c r="H252" s="31"/>
    </row>
  </sheetData>
  <mergeCells count="2">
    <mergeCell ref="I7:J7"/>
    <mergeCell ref="I22:J2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2023-02-16T18:30:15Z</dcterms:created>
</cp:coreProperties>
</file>