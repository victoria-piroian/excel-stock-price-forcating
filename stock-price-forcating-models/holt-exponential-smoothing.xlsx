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XOM_Data" sheetId="1" r:id="rId4"/>
    <sheet state="visible" name="Double_Exp_Smoothing_XOM" sheetId="2" r:id="rId5"/>
  </sheets>
  <definedNames>
    <definedName localSheetId="9" name="solver_cvg">0.0001</definedName>
    <definedName localSheetId="2" name="solver_cvg">0.0001</definedName>
    <definedName localSheetId="9" name="solver_drv">1</definedName>
    <definedName localSheetId="2" name="solver_drv">1</definedName>
    <definedName localSheetId="9" name="solver_eng">1</definedName>
    <definedName localSheetId="2" name="solver_eng">1</definedName>
    <definedName localSheetId="9" name="solver_itr">2147483647</definedName>
    <definedName localSheetId="2" name="solver_itr">2147483647</definedName>
    <definedName localSheetId="9" name="solver_lin">2</definedName>
    <definedName localSheetId="2" name="solver_lin">2</definedName>
    <definedName localSheetId="9" name="solver_mip">2147483647</definedName>
    <definedName localSheetId="2" name="solver_mip">2147483647</definedName>
    <definedName localSheetId="9" name="solver_mni">30</definedName>
    <definedName localSheetId="2" name="solver_mni">30</definedName>
    <definedName localSheetId="9" name="solver_mrt">0.075</definedName>
    <definedName localSheetId="2" name="solver_mrt">0.075</definedName>
    <definedName localSheetId="9" name="solver_msl">2</definedName>
    <definedName localSheetId="2" name="solver_msl">2</definedName>
    <definedName localSheetId="9" name="solver_neg">1</definedName>
    <definedName localSheetId="2" name="solver_neg">1</definedName>
    <definedName localSheetId="9" name="solver_nod">2147483647</definedName>
    <definedName localSheetId="2" name="solver_nod">2147483647</definedName>
    <definedName localSheetId="9" name="solver_num">2</definedName>
    <definedName localSheetId="2" name="solver_num">2</definedName>
    <definedName localSheetId="9" name="solver_pre">0.000001</definedName>
    <definedName localSheetId="2" name="solver_pre">0.000001</definedName>
    <definedName localSheetId="9" name="solver_rbv">1</definedName>
    <definedName localSheetId="2" name="solver_rbv">1</definedName>
    <definedName localSheetId="9" name="solver_rel1">1</definedName>
    <definedName localSheetId="2" name="solver_rel1">1</definedName>
    <definedName localSheetId="9" name="solver_rel2">1</definedName>
    <definedName localSheetId="2" name="solver_rel2">1</definedName>
    <definedName localSheetId="9" name="solver_rhs1">1</definedName>
    <definedName localSheetId="2" name="solver_rhs1">1</definedName>
    <definedName localSheetId="9" name="solver_rhs2">1</definedName>
    <definedName localSheetId="2" name="solver_rhs2">1</definedName>
    <definedName localSheetId="9" name="solver_rlx">2</definedName>
    <definedName localSheetId="2" name="solver_rlx">1</definedName>
    <definedName localSheetId="9" name="solver_rsd">0</definedName>
    <definedName localSheetId="2" name="solver_rsd">0</definedName>
    <definedName localSheetId="9" name="solver_scl">1</definedName>
    <definedName localSheetId="2" name="solver_scl">2</definedName>
    <definedName localSheetId="9" name="solver_sho">2</definedName>
    <definedName localSheetId="2" name="solver_sho">2</definedName>
    <definedName localSheetId="9" name="solver_ssz">100</definedName>
    <definedName localSheetId="2" name="solver_ssz">100</definedName>
    <definedName localSheetId="9" name="solver_tim">2147483647</definedName>
    <definedName localSheetId="2" name="solver_tim">2147483647</definedName>
    <definedName localSheetId="9" name="solver_tol">0.01</definedName>
    <definedName localSheetId="2" name="solver_tol">0.01</definedName>
    <definedName localSheetId="9" name="solver_typ">2</definedName>
    <definedName localSheetId="2" name="solver_typ">2</definedName>
    <definedName localSheetId="9" name="solver_val">0</definedName>
    <definedName localSheetId="2" name="solver_val">0</definedName>
    <definedName localSheetId="9" name="solver_ver">2</definedName>
    <definedName localSheetId="2" name="solver_ver">2</definedName>
    <definedName localSheetId="1" name="solver_lhs2">Double_Exp_Smoothing_XOM!$L$4</definedName>
    <definedName localSheetId="1" name="solver_lhs1">Double_Exp_Smoothing_XOM!$K$4</definedName>
    <definedName localSheetId="1" name="solver_adj">Double_Exp_Smoothing_XOM!$K$4:$L$4</definedName>
    <definedName localSheetId="1" name="solver_opt">Double_Exp_Smoothing_XOM!$I$4</definedName>
  </definedNames>
  <calcPr/>
  <extLst>
    <ext uri="GoogleSheetsCustomDataVersion1">
      <go:sheetsCustomData xmlns:go="http://customooxmlschemas.google.com/" r:id="rId6" roundtripDataSignature="AMtx7mhWKcRb6LtFNAC1ehk2cKepeHvt0g=="/>
    </ext>
  </extLst>
</workbook>
</file>

<file path=xl/sharedStrings.xml><?xml version="1.0" encoding="utf-8"?>
<sst xmlns="http://schemas.openxmlformats.org/spreadsheetml/2006/main" count="71" uniqueCount="51">
  <si>
    <t>Date</t>
  </si>
  <si>
    <t>Open</t>
  </si>
  <si>
    <t>High</t>
  </si>
  <si>
    <t>Low</t>
  </si>
  <si>
    <t>Close</t>
  </si>
  <si>
    <t>Adj Close</t>
  </si>
  <si>
    <t>Volume</t>
  </si>
  <si>
    <t>(Xij - Xbarj)^2</t>
  </si>
  <si>
    <t>n</t>
  </si>
  <si>
    <t>k</t>
  </si>
  <si>
    <t>Month (j)</t>
  </si>
  <si>
    <t>X(bar)j</t>
  </si>
  <si>
    <t>SSEj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</si>
  <si>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</si>
  <si>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</si>
  <si>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</si>
  <si>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</si>
  <si>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</si>
  <si>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</si>
  <si>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</si>
  <si>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</si>
  <si>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</si>
  <si>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</si>
  <si>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</si>
  <si>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</si>
  <si>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</si>
  <si>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d.f.</t>
  </si>
  <si>
    <t>MS</t>
  </si>
  <si>
    <t>SSR</t>
  </si>
  <si>
    <t>SSE</t>
  </si>
  <si>
    <t>SST</t>
  </si>
  <si>
    <t>F</t>
  </si>
  <si>
    <t>alpha</t>
  </si>
  <si>
    <t>DF1</t>
  </si>
  <si>
    <t>DF2</t>
  </si>
  <si>
    <t>F critical</t>
  </si>
  <si>
    <t>AVG</t>
  </si>
  <si>
    <t>Day</t>
  </si>
  <si>
    <t>Dt</t>
  </si>
  <si>
    <t>Ft</t>
  </si>
  <si>
    <t>St</t>
  </si>
  <si>
    <t>Gt</t>
  </si>
  <si>
    <t>Error</t>
  </si>
  <si>
    <t>abs error</t>
  </si>
  <si>
    <t>MAD (from 2022)</t>
  </si>
  <si>
    <t>a</t>
  </si>
  <si>
    <t>b</t>
  </si>
  <si>
    <t>-</t>
  </si>
  <si>
    <t>MAD (from 2023)</t>
  </si>
  <si>
    <t>last day of 2022</t>
  </si>
  <si>
    <t>first day of 2023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</si>
</sst>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6">
    <font>
      <sz val="10.0"/>
      <color rgb="FF000000"/>
      <name val="Arial"/>
      <scheme val="minor"/>
    </font>
    <font>
      <sz val="10.0"/>
      <color theme="1"/>
      <name val="Arial"/>
    </font>
    <font>
      <b/>
      <sz val="10.0"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B6D7A8"/>
        <bgColor rgb="FFB6D7A8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2" numFmtId="0" xfId="0" applyFont="1"/>
    <xf borderId="1" fillId="0" fontId="2" numFmtId="0" xfId="0" applyBorder="1" applyFont="1"/>
    <xf borderId="2" fillId="0" fontId="2" numFmtId="0" xfId="0" applyBorder="1" applyFont="1"/>
    <xf borderId="3" fillId="0" fontId="3" numFmtId="0" xfId="0" applyAlignment="1" applyBorder="1" applyFont="1">
      <alignment readingOrder="0"/>
    </xf>
    <xf borderId="0" fillId="2" fontId="2" numFmtId="0" xfId="0" applyFill="1" applyFont="1"/>
    <xf borderId="1" fillId="0" fontId="1" numFmtId="0" xfId="0" applyBorder="1" applyFont="1"/>
    <xf borderId="4" fillId="0" fontId="1" numFmtId="0" xfId="0" applyBorder="1" applyFont="1"/>
    <xf borderId="5" fillId="0" fontId="4" numFmtId="0" xfId="0" applyBorder="1" applyFont="1"/>
    <xf borderId="0" fillId="2" fontId="1" numFmtId="0" xfId="0" applyFont="1"/>
    <xf borderId="0" fillId="0" fontId="4" numFmtId="0" xfId="0" applyFont="1"/>
    <xf borderId="0" fillId="2" fontId="4" numFmtId="0" xfId="0" applyFont="1"/>
    <xf borderId="0" fillId="0" fontId="5" numFmtId="0" xfId="0" applyAlignment="1" applyFont="1">
      <alignment horizontal="right"/>
    </xf>
    <xf borderId="0" fillId="3" fontId="1" numFmtId="0" xfId="0" applyFill="1" applyFont="1"/>
    <xf borderId="6" fillId="0" fontId="1" numFmtId="0" xfId="0" applyBorder="1" applyFont="1"/>
    <xf borderId="7" fillId="0" fontId="5" numFmtId="0" xfId="0" applyAlignment="1" applyBorder="1" applyFont="1">
      <alignment horizontal="right"/>
    </xf>
    <xf borderId="7" fillId="3" fontId="1" numFmtId="0" xfId="0" applyBorder="1" applyFont="1"/>
    <xf borderId="7" fillId="0" fontId="1" numFmtId="0" xfId="0" applyBorder="1" applyFont="1"/>
    <xf borderId="8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Close vs Date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Close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trendline>
            <c:name>Linear (Close)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XOM_Data!$A$2:$A$252</c:f>
            </c:strRef>
          </c:cat>
          <c:val>
            <c:numRef>
              <c:f>XOM_Data!$E$2:$E$252</c:f>
              <c:numCache/>
            </c:numRef>
          </c:val>
          <c:smooth val="0"/>
        </c:ser>
        <c:axId val="1710709075"/>
        <c:axId val="1505214486"/>
      </c:lineChart>
      <c:catAx>
        <c:axId val="17107090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505214486"/>
      </c:catAx>
      <c:valAx>
        <c:axId val="1505214486"/>
        <c:scaling>
          <c:orientation val="minMax"/>
          <c:min val="6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Close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710709075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Day, Dt, Ft and St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Double_Exp_Smoothing_XOM!$C$3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Double_Exp_Smoothing_XOM!$C$4:$C$264</c:f>
              <c:numCache/>
            </c:numRef>
          </c:val>
          <c:smooth val="0"/>
        </c:ser>
        <c:ser>
          <c:idx val="1"/>
          <c:order val="1"/>
          <c:tx>
            <c:strRef>
              <c:f>Double_Exp_Smoothing_XOM!$D$3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Double_Exp_Smoothing_XOM!$D$4:$D$264</c:f>
              <c:numCache/>
            </c:numRef>
          </c:val>
          <c:smooth val="0"/>
        </c:ser>
        <c:ser>
          <c:idx val="2"/>
          <c:order val="2"/>
          <c:tx>
            <c:strRef>
              <c:f>Double_Exp_Smoothing_XOM!$E$3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val>
            <c:numRef>
              <c:f>Double_Exp_Smoothing_XOM!$E$4:$E$264</c:f>
              <c:numCache/>
            </c:numRef>
          </c:val>
          <c:smooth val="0"/>
        </c:ser>
        <c:axId val="672850203"/>
        <c:axId val="206378099"/>
      </c:lineChart>
      <c:catAx>
        <c:axId val="6728502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378099"/>
      </c:catAx>
      <c:valAx>
        <c:axId val="206378099"/>
        <c:scaling>
          <c:orientation val="minMax"/>
          <c:min val="6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285020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Dt and Ft</a:t>
            </a:r>
          </a:p>
        </c:rich>
      </c:tx>
      <c:overlay val="0"/>
    </c:title>
    <c:plotArea>
      <c:layout/>
      <c:lineChart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Double_Exp_Smoothing_XOM!$C$245:$C$264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Double_Exp_Smoothing_XOM!$D$245:$D$264</c:f>
              <c:numCache/>
            </c:numRef>
          </c:val>
          <c:smooth val="0"/>
        </c:ser>
        <c:axId val="1167118010"/>
        <c:axId val="538503649"/>
      </c:lineChart>
      <c:catAx>
        <c:axId val="11671180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8503649"/>
      </c:catAx>
      <c:valAx>
        <c:axId val="538503649"/>
        <c:scaling>
          <c:orientation val="minMax"/>
          <c:min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711801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171450</xdr:colOff>
      <xdr:row>0</xdr:row>
      <xdr:rowOff>142875</xdr:rowOff>
    </xdr:from>
    <xdr:ext cx="4343400" cy="2695575"/>
    <xdr:graphicFrame>
      <xdr:nvGraphicFramePr>
        <xdr:cNvPr id="913632107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19050</xdr:colOff>
      <xdr:row>228</xdr:row>
      <xdr:rowOff>28575</xdr:rowOff>
    </xdr:from>
    <xdr:ext cx="5715000" cy="3533775"/>
    <xdr:graphicFrame>
      <xdr:nvGraphicFramePr>
        <xdr:cNvPr id="303938343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19050</xdr:colOff>
      <xdr:row>246</xdr:row>
      <xdr:rowOff>66675</xdr:rowOff>
    </xdr:from>
    <xdr:ext cx="5715000" cy="3533775"/>
    <xdr:graphicFrame>
      <xdr:nvGraphicFramePr>
        <xdr:cNvPr id="696177484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O1" s="1" t="s">
        <v>8</v>
      </c>
      <c r="P1" s="1">
        <f>J254</f>
        <v>20.92857143</v>
      </c>
    </row>
    <row r="2" ht="15.75" customHeight="1">
      <c r="A2" s="2">
        <v>44564.0</v>
      </c>
      <c r="B2" s="1">
        <v>61.240002</v>
      </c>
      <c r="C2" s="1">
        <v>63.599998</v>
      </c>
      <c r="D2" s="1">
        <v>61.209999</v>
      </c>
      <c r="E2" s="1">
        <v>63.540001</v>
      </c>
      <c r="F2" s="1">
        <v>61.115536</v>
      </c>
      <c r="G2" s="1">
        <v>2.42824E7</v>
      </c>
      <c r="H2" s="1">
        <f t="shared" ref="H2:H21" si="1">(E2-$P$4)^2</f>
        <v>60.80878373</v>
      </c>
      <c r="I2" s="1">
        <f>COUNT(H2:H21)</f>
        <v>20</v>
      </c>
      <c r="O2" s="1" t="s">
        <v>9</v>
      </c>
      <c r="P2" s="1">
        <v>12.0</v>
      </c>
    </row>
    <row r="3" ht="15.75" customHeight="1">
      <c r="A3" s="2">
        <v>44565.0</v>
      </c>
      <c r="B3" s="1">
        <v>64.129997</v>
      </c>
      <c r="C3" s="1">
        <v>66.190002</v>
      </c>
      <c r="D3" s="1">
        <v>64.099998</v>
      </c>
      <c r="E3" s="1">
        <v>65.93</v>
      </c>
      <c r="F3" s="1">
        <v>63.414337</v>
      </c>
      <c r="G3" s="1">
        <v>3.8584E7</v>
      </c>
      <c r="H3" s="1">
        <f t="shared" si="1"/>
        <v>29.24646076</v>
      </c>
      <c r="O3" s="3" t="s">
        <v>10</v>
      </c>
      <c r="P3" s="3" t="s">
        <v>11</v>
      </c>
      <c r="Q3" s="3" t="s">
        <v>12</v>
      </c>
      <c r="R3" s="3"/>
    </row>
    <row r="4" ht="15.75" customHeight="1">
      <c r="A4" s="2">
        <v>44566.0</v>
      </c>
      <c r="B4" s="1">
        <v>66.5</v>
      </c>
      <c r="C4" s="1">
        <v>67.610001</v>
      </c>
      <c r="D4" s="1">
        <v>66.480003</v>
      </c>
      <c r="E4" s="1">
        <v>66.75</v>
      </c>
      <c r="F4" s="1">
        <v>64.203064</v>
      </c>
      <c r="G4" s="1">
        <v>3.40333E7</v>
      </c>
      <c r="H4" s="1">
        <f t="shared" si="1"/>
        <v>21.04974125</v>
      </c>
      <c r="O4" s="3" t="s">
        <v>13</v>
      </c>
      <c r="P4" s="1">
        <f>AVERAGE(E2:E21)</f>
        <v>71.3379997</v>
      </c>
      <c r="Q4" s="1">
        <f>SUM(H2:H21)</f>
        <v>220.1403139</v>
      </c>
      <c r="R4" s="1"/>
    </row>
    <row r="5" ht="15.75" customHeight="1">
      <c r="A5" s="2">
        <v>44567.0</v>
      </c>
      <c r="B5" s="1">
        <v>68.0</v>
      </c>
      <c r="C5" s="1">
        <v>68.480003</v>
      </c>
      <c r="D5" s="1">
        <v>67.07</v>
      </c>
      <c r="E5" s="1">
        <v>68.32</v>
      </c>
      <c r="F5" s="1">
        <v>65.71315</v>
      </c>
      <c r="G5" s="1">
        <v>3.06685E7</v>
      </c>
      <c r="H5" s="1">
        <f t="shared" si="1"/>
        <v>9.108322189</v>
      </c>
      <c r="O5" s="3" t="s">
        <v>14</v>
      </c>
      <c r="P5" s="1">
        <f>AVERAGE(E22:E40)</f>
        <v>78.88631595</v>
      </c>
      <c r="Q5" s="1">
        <f>SUM(H22:H40)</f>
        <v>55.19168747</v>
      </c>
      <c r="R5" s="1"/>
    </row>
    <row r="6" ht="15.75" customHeight="1">
      <c r="A6" s="2">
        <v>44568.0</v>
      </c>
      <c r="B6" s="1">
        <v>68.519997</v>
      </c>
      <c r="C6" s="1">
        <v>69.18</v>
      </c>
      <c r="D6" s="1">
        <v>67.980003</v>
      </c>
      <c r="E6" s="1">
        <v>68.879997</v>
      </c>
      <c r="F6" s="1">
        <v>66.251778</v>
      </c>
      <c r="G6" s="1">
        <v>2.39854E7</v>
      </c>
      <c r="H6" s="1">
        <f t="shared" si="1"/>
        <v>6.041777273</v>
      </c>
      <c r="O6" s="3" t="s">
        <v>15</v>
      </c>
      <c r="P6" s="1">
        <f>AVERAGE(E41:E63)</f>
        <v>82.33825978</v>
      </c>
      <c r="Q6" s="1">
        <f>SUM(H41:H63)</f>
        <v>179.4641016</v>
      </c>
      <c r="R6" s="1"/>
    </row>
    <row r="7" ht="15.75" customHeight="1">
      <c r="A7" s="2">
        <v>44571.0</v>
      </c>
      <c r="B7" s="1">
        <v>68.970001</v>
      </c>
      <c r="C7" s="1">
        <v>69.169998</v>
      </c>
      <c r="D7" s="1">
        <v>67.949997</v>
      </c>
      <c r="E7" s="1">
        <v>68.470001</v>
      </c>
      <c r="F7" s="1">
        <v>65.85743</v>
      </c>
      <c r="G7" s="1">
        <v>2.27603E7</v>
      </c>
      <c r="H7" s="1">
        <f t="shared" si="1"/>
        <v>8.225416543</v>
      </c>
      <c r="O7" s="3" t="s">
        <v>16</v>
      </c>
      <c r="P7" s="1">
        <f>AVERAGE(E64:E83)</f>
        <v>85.3355003</v>
      </c>
      <c r="Q7" s="1">
        <f>SUM(H64:H83)</f>
        <v>81.00303053</v>
      </c>
      <c r="R7" s="1"/>
    </row>
    <row r="8" ht="15.75" customHeight="1">
      <c r="A8" s="2">
        <v>44572.0</v>
      </c>
      <c r="B8" s="1">
        <v>68.889999</v>
      </c>
      <c r="C8" s="1">
        <v>71.400002</v>
      </c>
      <c r="D8" s="1">
        <v>68.580002</v>
      </c>
      <c r="E8" s="1">
        <v>71.349998</v>
      </c>
      <c r="F8" s="1">
        <v>68.627533</v>
      </c>
      <c r="G8" s="1">
        <v>3.29361E7</v>
      </c>
      <c r="H8" s="1">
        <f t="shared" si="1"/>
        <v>0.0001439592029</v>
      </c>
      <c r="O8" s="3" t="s">
        <v>17</v>
      </c>
      <c r="P8" s="1">
        <f>AVERAGE(E84:E104)</f>
        <v>91.0123811</v>
      </c>
      <c r="Q8" s="1">
        <f>SUM(H84:H104)</f>
        <v>303.6849205</v>
      </c>
      <c r="R8" s="1"/>
    </row>
    <row r="9" ht="15.75" customHeight="1">
      <c r="A9" s="2">
        <v>44573.0</v>
      </c>
      <c r="B9" s="1">
        <v>71.139999</v>
      </c>
      <c r="C9" s="1">
        <v>71.809998</v>
      </c>
      <c r="D9" s="1">
        <v>70.639999</v>
      </c>
      <c r="E9" s="1">
        <v>71.139999</v>
      </c>
      <c r="F9" s="1">
        <v>68.425552</v>
      </c>
      <c r="G9" s="1">
        <v>2.30451E7</v>
      </c>
      <c r="H9" s="1">
        <f t="shared" si="1"/>
        <v>0.0392042772</v>
      </c>
      <c r="O9" s="3" t="s">
        <v>18</v>
      </c>
      <c r="P9" s="1">
        <f>AVERAGE(E105:E125)</f>
        <v>94.01333281</v>
      </c>
      <c r="Q9" s="1">
        <f>SUM(H105:H125)</f>
        <v>773.2798275</v>
      </c>
      <c r="R9" s="1"/>
    </row>
    <row r="10" ht="15.75" customHeight="1">
      <c r="A10" s="2">
        <v>44574.0</v>
      </c>
      <c r="B10" s="1">
        <v>71.120003</v>
      </c>
      <c r="C10" s="1">
        <v>71.580002</v>
      </c>
      <c r="D10" s="1">
        <v>70.309998</v>
      </c>
      <c r="E10" s="1">
        <v>70.629997</v>
      </c>
      <c r="F10" s="1">
        <v>67.935013</v>
      </c>
      <c r="G10" s="1">
        <v>2.10432E7</v>
      </c>
      <c r="H10" s="1">
        <f t="shared" si="1"/>
        <v>0.5012678232</v>
      </c>
      <c r="O10" s="3" t="s">
        <v>19</v>
      </c>
      <c r="P10" s="1">
        <f>AVERAGE(E126:E145)</f>
        <v>87.47549965</v>
      </c>
      <c r="Q10" s="1">
        <f>SUM(H126:H145)</f>
        <v>225.2075142</v>
      </c>
      <c r="R10" s="1"/>
    </row>
    <row r="11" ht="15.75" customHeight="1">
      <c r="A11" s="2">
        <v>44575.0</v>
      </c>
      <c r="B11" s="1">
        <v>70.650002</v>
      </c>
      <c r="C11" s="1">
        <v>72.150002</v>
      </c>
      <c r="D11" s="1">
        <v>70.599998</v>
      </c>
      <c r="E11" s="1">
        <v>71.870003</v>
      </c>
      <c r="F11" s="1">
        <v>69.127701</v>
      </c>
      <c r="G11" s="1">
        <v>2.30129E7</v>
      </c>
      <c r="H11" s="1">
        <f t="shared" si="1"/>
        <v>0.2830275112</v>
      </c>
      <c r="O11" s="3" t="s">
        <v>20</v>
      </c>
      <c r="P11" s="1">
        <f>AVERAGE(E146:E168)</f>
        <v>93.79999939</v>
      </c>
      <c r="Q11" s="1">
        <f>SUM(H146:H168)</f>
        <v>265.5085204</v>
      </c>
      <c r="R11" s="1"/>
    </row>
    <row r="12" ht="15.75" customHeight="1">
      <c r="A12" s="2">
        <v>44579.0</v>
      </c>
      <c r="B12" s="1">
        <v>72.82</v>
      </c>
      <c r="C12" s="1">
        <v>73.879997</v>
      </c>
      <c r="D12" s="1">
        <v>72.010002</v>
      </c>
      <c r="E12" s="1">
        <v>73.080002</v>
      </c>
      <c r="F12" s="1">
        <v>70.291527</v>
      </c>
      <c r="G12" s="1">
        <v>3.28412E7</v>
      </c>
      <c r="H12" s="1">
        <f t="shared" si="1"/>
        <v>3.034572013</v>
      </c>
      <c r="O12" s="3" t="s">
        <v>21</v>
      </c>
      <c r="P12" s="1">
        <f>AVERAGE(E169:E189)</f>
        <v>92.19476176</v>
      </c>
      <c r="Q12" s="1">
        <f>SUM(H169:H189)</f>
        <v>332.0011098</v>
      </c>
      <c r="R12" s="1"/>
    </row>
    <row r="13" ht="15.75" customHeight="1">
      <c r="A13" s="2">
        <v>44580.0</v>
      </c>
      <c r="B13" s="1">
        <v>73.75</v>
      </c>
      <c r="C13" s="1">
        <v>73.860001</v>
      </c>
      <c r="D13" s="1">
        <v>72.550003</v>
      </c>
      <c r="E13" s="1">
        <v>73.110001</v>
      </c>
      <c r="F13" s="1">
        <v>70.320381</v>
      </c>
      <c r="G13" s="1">
        <v>2.64316E7</v>
      </c>
      <c r="H13" s="1">
        <f t="shared" si="1"/>
        <v>3.139988607</v>
      </c>
      <c r="O13" s="3" t="s">
        <v>22</v>
      </c>
      <c r="P13" s="1">
        <f>AVERAGE(E190:E210)</f>
        <v>102.352857</v>
      </c>
      <c r="Q13" s="1">
        <f>SUM(H190:H210)</f>
        <v>472.0825995</v>
      </c>
      <c r="R13" s="1"/>
    </row>
    <row r="14" ht="15.75" customHeight="1">
      <c r="A14" s="2">
        <v>44581.0</v>
      </c>
      <c r="B14" s="1">
        <v>72.5</v>
      </c>
      <c r="C14" s="1">
        <v>74.370003</v>
      </c>
      <c r="D14" s="1">
        <v>72.260002</v>
      </c>
      <c r="E14" s="1">
        <v>73.269997</v>
      </c>
      <c r="F14" s="1">
        <v>70.474281</v>
      </c>
      <c r="G14" s="1">
        <v>2.67746E7</v>
      </c>
      <c r="H14" s="1">
        <f t="shared" si="1"/>
        <v>3.732613567</v>
      </c>
      <c r="O14" s="3" t="s">
        <v>23</v>
      </c>
      <c r="P14" s="1">
        <f>AVERAGE(E211:E231)</f>
        <v>112.1490476</v>
      </c>
      <c r="Q14" s="1">
        <f>SUM(H211:H231)</f>
        <v>54.11655939</v>
      </c>
      <c r="R14" s="1"/>
    </row>
    <row r="15" ht="15.75" customHeight="1">
      <c r="A15" s="2">
        <v>44582.0</v>
      </c>
      <c r="B15" s="1">
        <v>73.18</v>
      </c>
      <c r="C15" s="1">
        <v>73.18</v>
      </c>
      <c r="D15" s="1">
        <v>71.040001</v>
      </c>
      <c r="E15" s="1">
        <v>72.169998</v>
      </c>
      <c r="F15" s="1">
        <v>69.416245</v>
      </c>
      <c r="G15" s="1">
        <v>3.59952E7</v>
      </c>
      <c r="H15" s="1">
        <f t="shared" si="1"/>
        <v>0.6922211712</v>
      </c>
      <c r="O15" s="3" t="s">
        <v>24</v>
      </c>
      <c r="P15" s="1">
        <f>AVERAGE(E232:E252)</f>
        <v>106.9280947</v>
      </c>
      <c r="Q15" s="1">
        <f>SUM(H232:H252)</f>
        <v>107.4801955</v>
      </c>
      <c r="R15" s="1"/>
    </row>
    <row r="16" ht="15.75" customHeight="1">
      <c r="A16" s="2">
        <v>44585.0</v>
      </c>
      <c r="B16" s="1">
        <v>70.879997</v>
      </c>
      <c r="C16" s="1">
        <v>73.080002</v>
      </c>
      <c r="D16" s="1">
        <v>69.809998</v>
      </c>
      <c r="E16" s="1">
        <v>72.790001</v>
      </c>
      <c r="F16" s="1">
        <v>70.012596</v>
      </c>
      <c r="G16" s="1">
        <v>4.1507E7</v>
      </c>
      <c r="H16" s="1">
        <f t="shared" si="1"/>
        <v>2.108307775</v>
      </c>
    </row>
    <row r="17" ht="15.75" customHeight="1">
      <c r="A17" s="2">
        <v>44586.0</v>
      </c>
      <c r="B17" s="1">
        <v>72.589996</v>
      </c>
      <c r="C17" s="1">
        <v>75.239998</v>
      </c>
      <c r="D17" s="1">
        <v>71.389999</v>
      </c>
      <c r="E17" s="1">
        <v>74.93</v>
      </c>
      <c r="F17" s="1">
        <v>72.070938</v>
      </c>
      <c r="G17" s="1">
        <v>3.92784E7</v>
      </c>
      <c r="H17" s="1">
        <f t="shared" si="1"/>
        <v>12.90246616</v>
      </c>
      <c r="P17" s="3" t="s">
        <v>25</v>
      </c>
      <c r="Q17" s="1">
        <f>AVERAGE(E2:E252)</f>
        <v>91.65203159</v>
      </c>
    </row>
    <row r="18" ht="15.75" customHeight="1">
      <c r="A18" s="2">
        <v>44587.0</v>
      </c>
      <c r="B18" s="1">
        <v>75.43</v>
      </c>
      <c r="C18" s="1">
        <v>76.0</v>
      </c>
      <c r="D18" s="1">
        <v>73.489998</v>
      </c>
      <c r="E18" s="1">
        <v>74.169998</v>
      </c>
      <c r="F18" s="1">
        <v>71.339935</v>
      </c>
      <c r="G18" s="1">
        <v>3.52524E7</v>
      </c>
      <c r="H18" s="1">
        <f t="shared" si="1"/>
        <v>8.020214371</v>
      </c>
      <c r="R18" s="3" t="s">
        <v>26</v>
      </c>
      <c r="S18" s="3" t="s">
        <v>27</v>
      </c>
    </row>
    <row r="19" ht="15.75" customHeight="1">
      <c r="A19" s="2">
        <v>44588.0</v>
      </c>
      <c r="B19" s="1">
        <v>75.459999</v>
      </c>
      <c r="C19" s="1">
        <v>76.010002</v>
      </c>
      <c r="D19" s="1">
        <v>73.989998</v>
      </c>
      <c r="E19" s="1">
        <v>75.120003</v>
      </c>
      <c r="F19" s="1">
        <v>72.253685</v>
      </c>
      <c r="G19" s="1">
        <v>2.91747E7</v>
      </c>
      <c r="H19" s="1">
        <f t="shared" si="1"/>
        <v>14.30354896</v>
      </c>
      <c r="P19" s="3" t="s">
        <v>28</v>
      </c>
      <c r="Q19" s="1">
        <f>12*((P4-Q17)^2 + (P5 - Q17)^2 + (P6 - Q17)^2 + (P7 - Q17)^2 + (P8 - Q17)^2 + (P9 - Q17)^2 + (P10 - Q17)^2 + (P11 - Q17)^2 + (P12 - Q17)^2 + (P13 - Q17)^2 + (P14 - Q17)^2 + (P15 - Q17)^2)</f>
        <v>17983.18042</v>
      </c>
      <c r="R19" s="1">
        <f>P2-1</f>
        <v>11</v>
      </c>
      <c r="S19" s="1">
        <f t="shared" ref="S19:S20" si="2">Q19/R19</f>
        <v>1634.834583</v>
      </c>
    </row>
    <row r="20" ht="15.75" customHeight="1">
      <c r="A20" s="2">
        <v>44589.0</v>
      </c>
      <c r="B20" s="1">
        <v>74.970001</v>
      </c>
      <c r="C20" s="1">
        <v>75.620003</v>
      </c>
      <c r="D20" s="1">
        <v>73.949997</v>
      </c>
      <c r="E20" s="1">
        <v>75.279999</v>
      </c>
      <c r="F20" s="1">
        <v>72.407585</v>
      </c>
      <c r="G20" s="1">
        <v>3.05957E7</v>
      </c>
      <c r="H20" s="1">
        <f t="shared" si="1"/>
        <v>15.53935848</v>
      </c>
      <c r="P20" s="3" t="s">
        <v>29</v>
      </c>
      <c r="Q20" s="1">
        <f>SUM(Q3:Q15)</f>
        <v>3069.16038</v>
      </c>
      <c r="R20" s="1">
        <f>P1-P2</f>
        <v>8.928571429</v>
      </c>
      <c r="S20" s="1">
        <f t="shared" si="2"/>
        <v>343.7459626</v>
      </c>
    </row>
    <row r="21" ht="15.75" customHeight="1">
      <c r="A21" s="2">
        <v>44592.0</v>
      </c>
      <c r="B21" s="1">
        <v>74.970001</v>
      </c>
      <c r="C21" s="1">
        <v>76.419998</v>
      </c>
      <c r="D21" s="1">
        <v>74.269997</v>
      </c>
      <c r="E21" s="1">
        <v>75.959999</v>
      </c>
      <c r="F21" s="1">
        <v>73.061638</v>
      </c>
      <c r="G21" s="1">
        <v>3.60855E7</v>
      </c>
      <c r="H21" s="1">
        <f t="shared" si="1"/>
        <v>21.36287753</v>
      </c>
      <c r="P21" s="3" t="s">
        <v>30</v>
      </c>
      <c r="Q21" s="1">
        <f>Q19+Q20</f>
        <v>21052.3408</v>
      </c>
      <c r="R21" s="1">
        <f>P1-1</f>
        <v>19.92857143</v>
      </c>
    </row>
    <row r="22" ht="15.75" customHeight="1">
      <c r="A22" s="2">
        <v>44593.0</v>
      </c>
      <c r="B22" s="1">
        <v>76.449997</v>
      </c>
      <c r="C22" s="1">
        <v>81.510002</v>
      </c>
      <c r="D22" s="1">
        <v>76.269997</v>
      </c>
      <c r="E22" s="1">
        <v>80.830002</v>
      </c>
      <c r="F22" s="1">
        <v>77.745819</v>
      </c>
      <c r="G22" s="1">
        <v>6.10331E7</v>
      </c>
      <c r="H22" s="1">
        <f t="shared" ref="H22:H40" si="3">(E22-$P$5)^2</f>
        <v>3.777915471</v>
      </c>
      <c r="I22" s="1">
        <f>COUNT(H22:H40)</f>
        <v>19</v>
      </c>
    </row>
    <row r="23" ht="15.75" customHeight="1">
      <c r="A23" s="2">
        <v>44594.0</v>
      </c>
      <c r="B23" s="1">
        <v>80.059998</v>
      </c>
      <c r="C23" s="1">
        <v>80.809998</v>
      </c>
      <c r="D23" s="1">
        <v>79.150002</v>
      </c>
      <c r="E23" s="1">
        <v>80.620003</v>
      </c>
      <c r="F23" s="1">
        <v>77.543839</v>
      </c>
      <c r="G23" s="1">
        <v>3.02993E7</v>
      </c>
      <c r="H23" s="1">
        <f t="shared" si="3"/>
        <v>3.005670796</v>
      </c>
      <c r="R23" s="3" t="s">
        <v>31</v>
      </c>
      <c r="S23" s="1">
        <f>S19/S20</f>
        <v>4.755938283</v>
      </c>
    </row>
    <row r="24" ht="15.75" customHeight="1">
      <c r="A24" s="2">
        <v>44595.0</v>
      </c>
      <c r="B24" s="1">
        <v>80.089996</v>
      </c>
      <c r="C24" s="1">
        <v>80.309998</v>
      </c>
      <c r="D24" s="1">
        <v>79.019997</v>
      </c>
      <c r="E24" s="1">
        <v>79.68</v>
      </c>
      <c r="F24" s="1">
        <v>76.639694</v>
      </c>
      <c r="G24" s="1">
        <v>2.85294E7</v>
      </c>
      <c r="H24" s="1">
        <f t="shared" si="3"/>
        <v>0.6299343754</v>
      </c>
      <c r="R24" s="3" t="s">
        <v>32</v>
      </c>
      <c r="S24" s="1">
        <v>0.005</v>
      </c>
    </row>
    <row r="25" ht="15.75" customHeight="1">
      <c r="A25" s="2">
        <v>44596.0</v>
      </c>
      <c r="B25" s="1">
        <v>80.870003</v>
      </c>
      <c r="C25" s="1">
        <v>82.529999</v>
      </c>
      <c r="D25" s="1">
        <v>80.870003</v>
      </c>
      <c r="E25" s="1">
        <v>81.410004</v>
      </c>
      <c r="F25" s="1">
        <v>78.303696</v>
      </c>
      <c r="G25" s="1">
        <v>3.21975E7</v>
      </c>
      <c r="H25" s="1">
        <f t="shared" si="3"/>
        <v>6.369001387</v>
      </c>
      <c r="R25" s="3" t="s">
        <v>33</v>
      </c>
      <c r="S25" s="1">
        <f t="shared" ref="S25:S26" si="4">R19</f>
        <v>11</v>
      </c>
    </row>
    <row r="26" ht="15.75" customHeight="1">
      <c r="A26" s="2">
        <v>44599.0</v>
      </c>
      <c r="B26" s="1">
        <v>81.139999</v>
      </c>
      <c r="C26" s="1">
        <v>83.080002</v>
      </c>
      <c r="D26" s="1">
        <v>80.639999</v>
      </c>
      <c r="E26" s="1">
        <v>82.389999</v>
      </c>
      <c r="F26" s="1">
        <v>79.246292</v>
      </c>
      <c r="G26" s="1">
        <v>3.49492E7</v>
      </c>
      <c r="H26" s="1">
        <f t="shared" si="3"/>
        <v>12.27579493</v>
      </c>
      <c r="R26" s="3" t="s">
        <v>34</v>
      </c>
      <c r="S26" s="1">
        <f t="shared" si="4"/>
        <v>8.928571429</v>
      </c>
    </row>
    <row r="27" ht="15.75" customHeight="1">
      <c r="A27" s="2">
        <v>44600.0</v>
      </c>
      <c r="B27" s="1">
        <v>82.269997</v>
      </c>
      <c r="C27" s="1">
        <v>82.5</v>
      </c>
      <c r="D27" s="1">
        <v>79.919998</v>
      </c>
      <c r="E27" s="1">
        <v>80.260002</v>
      </c>
      <c r="F27" s="1">
        <v>77.197563</v>
      </c>
      <c r="G27" s="1">
        <v>3.43563E7</v>
      </c>
      <c r="H27" s="1">
        <f t="shared" si="3"/>
        <v>1.887013371</v>
      </c>
      <c r="R27" s="3" t="s">
        <v>35</v>
      </c>
      <c r="S27" s="1">
        <f>(3.964+3.868)/2</f>
        <v>3.916</v>
      </c>
    </row>
    <row r="28" ht="15.75" customHeight="1">
      <c r="A28" s="2">
        <v>44601.0</v>
      </c>
      <c r="B28" s="1">
        <v>79.580002</v>
      </c>
      <c r="C28" s="1">
        <v>80.029999</v>
      </c>
      <c r="D28" s="1">
        <v>78.709999</v>
      </c>
      <c r="E28" s="1">
        <v>79.0</v>
      </c>
      <c r="F28" s="1">
        <v>76.828011</v>
      </c>
      <c r="G28" s="1">
        <v>4.01061E7</v>
      </c>
      <c r="H28" s="1">
        <f t="shared" si="3"/>
        <v>0.01292406382</v>
      </c>
    </row>
    <row r="29" ht="15.75" customHeight="1">
      <c r="A29" s="2">
        <v>44602.0</v>
      </c>
      <c r="B29" s="1">
        <v>78.720001</v>
      </c>
      <c r="C29" s="1">
        <v>79.68</v>
      </c>
      <c r="D29" s="1">
        <v>77.790001</v>
      </c>
      <c r="E29" s="1">
        <v>78.239998</v>
      </c>
      <c r="F29" s="1">
        <v>76.088913</v>
      </c>
      <c r="G29" s="1">
        <v>2.85277E7</v>
      </c>
      <c r="H29" s="1">
        <f t="shared" si="3"/>
        <v>0.4177268891</v>
      </c>
      <c r="S29" s="1"/>
    </row>
    <row r="30" ht="15.75" customHeight="1">
      <c r="A30" s="2">
        <v>44603.0</v>
      </c>
      <c r="B30" s="1">
        <v>78.620003</v>
      </c>
      <c r="C30" s="1">
        <v>80.32</v>
      </c>
      <c r="D30" s="1">
        <v>78.230003</v>
      </c>
      <c r="E30" s="1">
        <v>80.209999</v>
      </c>
      <c r="F30" s="1">
        <v>78.004745</v>
      </c>
      <c r="G30" s="1">
        <v>4.20021E7</v>
      </c>
      <c r="H30" s="1">
        <f t="shared" si="3"/>
        <v>1.752136824</v>
      </c>
    </row>
    <row r="31" ht="15.75" customHeight="1">
      <c r="A31" s="2">
        <v>44606.0</v>
      </c>
      <c r="B31" s="1">
        <v>79.580002</v>
      </c>
      <c r="C31" s="1">
        <v>79.839996</v>
      </c>
      <c r="D31" s="1">
        <v>77.050003</v>
      </c>
      <c r="E31" s="1">
        <v>78.980003</v>
      </c>
      <c r="F31" s="1">
        <v>76.808563</v>
      </c>
      <c r="G31" s="1">
        <v>3.46528E7</v>
      </c>
      <c r="H31" s="1">
        <f t="shared" si="3"/>
        <v>0.008777263831</v>
      </c>
    </row>
    <row r="32" ht="15.75" customHeight="1">
      <c r="A32" s="2">
        <v>44607.0</v>
      </c>
      <c r="B32" s="1">
        <v>76.900002</v>
      </c>
      <c r="C32" s="1">
        <v>78.190002</v>
      </c>
      <c r="D32" s="1">
        <v>76.419998</v>
      </c>
      <c r="E32" s="1">
        <v>77.989998</v>
      </c>
      <c r="F32" s="1">
        <v>75.845779</v>
      </c>
      <c r="G32" s="1">
        <v>2.50751E7</v>
      </c>
      <c r="H32" s="1">
        <f t="shared" si="3"/>
        <v>0.8033858628</v>
      </c>
    </row>
    <row r="33" ht="15.75" customHeight="1">
      <c r="A33" s="2">
        <v>44608.0</v>
      </c>
      <c r="B33" s="1">
        <v>78.790001</v>
      </c>
      <c r="C33" s="1">
        <v>79.730003</v>
      </c>
      <c r="D33" s="1">
        <v>78.040001</v>
      </c>
      <c r="E33" s="1">
        <v>78.349998</v>
      </c>
      <c r="F33" s="1">
        <v>76.195877</v>
      </c>
      <c r="G33" s="1">
        <v>2.17338E7</v>
      </c>
      <c r="H33" s="1">
        <f t="shared" si="3"/>
        <v>0.2876369407</v>
      </c>
    </row>
    <row r="34" ht="15.75" customHeight="1">
      <c r="A34" s="2">
        <v>44609.0</v>
      </c>
      <c r="B34" s="1">
        <v>78.480003</v>
      </c>
      <c r="C34" s="1">
        <v>79.120003</v>
      </c>
      <c r="D34" s="1">
        <v>77.949997</v>
      </c>
      <c r="E34" s="1">
        <v>78.230003</v>
      </c>
      <c r="F34" s="1">
        <v>76.079185</v>
      </c>
      <c r="G34" s="1">
        <v>2.37388E7</v>
      </c>
      <c r="H34" s="1">
        <f t="shared" si="3"/>
        <v>0.4307466849</v>
      </c>
    </row>
    <row r="35" ht="15.75" customHeight="1">
      <c r="A35" s="2">
        <v>44610.0</v>
      </c>
      <c r="B35" s="1">
        <v>77.160004</v>
      </c>
      <c r="C35" s="1">
        <v>78.169998</v>
      </c>
      <c r="D35" s="1">
        <v>76.889999</v>
      </c>
      <c r="E35" s="1">
        <v>77.360001</v>
      </c>
      <c r="F35" s="1">
        <v>75.233109</v>
      </c>
      <c r="G35" s="1">
        <v>2.33948E7</v>
      </c>
      <c r="H35" s="1">
        <f t="shared" si="3"/>
        <v>2.329637319</v>
      </c>
    </row>
    <row r="36" ht="15.75" customHeight="1">
      <c r="A36" s="2">
        <v>44614.0</v>
      </c>
      <c r="B36" s="1">
        <v>79.669998</v>
      </c>
      <c r="C36" s="1">
        <v>79.790001</v>
      </c>
      <c r="D36" s="1">
        <v>75.309998</v>
      </c>
      <c r="E36" s="1">
        <v>76.459999</v>
      </c>
      <c r="F36" s="1">
        <v>74.357849</v>
      </c>
      <c r="G36" s="1">
        <v>3.59478E7</v>
      </c>
      <c r="H36" s="1">
        <f t="shared" si="3"/>
        <v>5.887013929</v>
      </c>
    </row>
    <row r="37" ht="15.75" customHeight="1">
      <c r="A37" s="2">
        <v>44615.0</v>
      </c>
      <c r="B37" s="1">
        <v>76.459999</v>
      </c>
      <c r="C37" s="1">
        <v>77.470001</v>
      </c>
      <c r="D37" s="1">
        <v>76.129997</v>
      </c>
      <c r="E37" s="1">
        <v>76.769997</v>
      </c>
      <c r="F37" s="1">
        <v>74.659317</v>
      </c>
      <c r="G37" s="1">
        <v>2.5385E7</v>
      </c>
      <c r="H37" s="1">
        <f t="shared" si="3"/>
        <v>4.478805887</v>
      </c>
    </row>
    <row r="38" ht="15.75" customHeight="1">
      <c r="A38" s="2">
        <v>44616.0</v>
      </c>
      <c r="B38" s="1">
        <v>79.0</v>
      </c>
      <c r="C38" s="1">
        <v>79.029999</v>
      </c>
      <c r="D38" s="1">
        <v>74.029999</v>
      </c>
      <c r="E38" s="1">
        <v>75.800003</v>
      </c>
      <c r="F38" s="1">
        <v>73.716003</v>
      </c>
      <c r="G38" s="1">
        <v>4.61999E7</v>
      </c>
      <c r="H38" s="1">
        <f t="shared" si="3"/>
        <v>9.525327609</v>
      </c>
    </row>
    <row r="39" ht="15.75" customHeight="1">
      <c r="A39" s="2">
        <v>44617.0</v>
      </c>
      <c r="B39" s="1">
        <v>76.690002</v>
      </c>
      <c r="C39" s="1">
        <v>77.989998</v>
      </c>
      <c r="D39" s="1">
        <v>76.260002</v>
      </c>
      <c r="E39" s="1">
        <v>77.839996</v>
      </c>
      <c r="F39" s="1">
        <v>75.699898</v>
      </c>
      <c r="G39" s="1">
        <v>2.83103E7</v>
      </c>
      <c r="H39" s="1">
        <f t="shared" si="3"/>
        <v>1.094785432</v>
      </c>
    </row>
    <row r="40" ht="15.75" customHeight="1">
      <c r="A40" s="2">
        <v>44620.0</v>
      </c>
      <c r="B40" s="1">
        <v>76.510002</v>
      </c>
      <c r="C40" s="1">
        <v>78.93</v>
      </c>
      <c r="D40" s="1">
        <v>76.199997</v>
      </c>
      <c r="E40" s="1">
        <v>78.419998</v>
      </c>
      <c r="F40" s="1">
        <v>76.263962</v>
      </c>
      <c r="G40" s="1">
        <v>3.22046E7</v>
      </c>
      <c r="H40" s="1">
        <f t="shared" si="3"/>
        <v>0.217452428</v>
      </c>
    </row>
    <row r="41" ht="15.75" customHeight="1">
      <c r="A41" s="2">
        <v>44621.0</v>
      </c>
      <c r="B41" s="1">
        <v>78.769997</v>
      </c>
      <c r="C41" s="1">
        <v>80.650002</v>
      </c>
      <c r="D41" s="1">
        <v>78.330002</v>
      </c>
      <c r="E41" s="1">
        <v>79.169998</v>
      </c>
      <c r="F41" s="1">
        <v>76.99334</v>
      </c>
      <c r="G41" s="1">
        <v>4.00023E7</v>
      </c>
      <c r="H41" s="1">
        <f t="shared" ref="H41:H63" si="5">(E41-$P$6)^2</f>
        <v>10.03788272</v>
      </c>
      <c r="I41" s="1">
        <f>COUNT(H41:H63)</f>
        <v>23</v>
      </c>
    </row>
    <row r="42" ht="15.75" customHeight="1">
      <c r="A42" s="2">
        <v>44622.0</v>
      </c>
      <c r="B42" s="1">
        <v>80.599998</v>
      </c>
      <c r="C42" s="1">
        <v>82.150002</v>
      </c>
      <c r="D42" s="1">
        <v>79.82</v>
      </c>
      <c r="E42" s="1">
        <v>80.529999</v>
      </c>
      <c r="F42" s="1">
        <v>78.315941</v>
      </c>
      <c r="G42" s="1">
        <v>4.43214E7</v>
      </c>
      <c r="H42" s="1">
        <f t="shared" si="5"/>
        <v>3.269807058</v>
      </c>
    </row>
    <row r="43" ht="15.75" customHeight="1">
      <c r="A43" s="2">
        <v>44623.0</v>
      </c>
      <c r="B43" s="1">
        <v>79.860001</v>
      </c>
      <c r="C43" s="1">
        <v>81.769997</v>
      </c>
      <c r="D43" s="1">
        <v>79.629997</v>
      </c>
      <c r="E43" s="1">
        <v>81.040001</v>
      </c>
      <c r="F43" s="1">
        <v>78.811935</v>
      </c>
      <c r="G43" s="1">
        <v>3.01966E7</v>
      </c>
      <c r="H43" s="1">
        <f t="shared" si="5"/>
        <v>1.685475867</v>
      </c>
    </row>
    <row r="44" ht="15.75" customHeight="1">
      <c r="A44" s="2">
        <v>44624.0</v>
      </c>
      <c r="B44" s="1">
        <v>81.050003</v>
      </c>
      <c r="C44" s="1">
        <v>84.279999</v>
      </c>
      <c r="D44" s="1">
        <v>80.660004</v>
      </c>
      <c r="E44" s="1">
        <v>84.089996</v>
      </c>
      <c r="F44" s="1">
        <v>81.778069</v>
      </c>
      <c r="G44" s="1">
        <v>4.28022E7</v>
      </c>
      <c r="H44" s="1">
        <f t="shared" si="5"/>
        <v>3.068579775</v>
      </c>
    </row>
    <row r="45" ht="15.75" customHeight="1">
      <c r="A45" s="2">
        <v>44627.0</v>
      </c>
      <c r="B45" s="1">
        <v>84.919998</v>
      </c>
      <c r="C45" s="1">
        <v>87.230003</v>
      </c>
      <c r="D45" s="1">
        <v>83.900002</v>
      </c>
      <c r="E45" s="1">
        <v>87.120003</v>
      </c>
      <c r="F45" s="1">
        <v>84.72477</v>
      </c>
      <c r="G45" s="1">
        <v>5.52079E7</v>
      </c>
      <c r="H45" s="1">
        <f t="shared" si="5"/>
        <v>22.8650682</v>
      </c>
    </row>
    <row r="46" ht="15.75" customHeight="1">
      <c r="A46" s="2">
        <v>44628.0</v>
      </c>
      <c r="B46" s="1">
        <v>89.050003</v>
      </c>
      <c r="C46" s="1">
        <v>91.510002</v>
      </c>
      <c r="D46" s="1">
        <v>85.43</v>
      </c>
      <c r="E46" s="1">
        <v>87.779999</v>
      </c>
      <c r="F46" s="1">
        <v>85.366623</v>
      </c>
      <c r="G46" s="1">
        <v>7.20823E7</v>
      </c>
      <c r="H46" s="1">
        <f t="shared" si="5"/>
        <v>29.61252571</v>
      </c>
    </row>
    <row r="47" ht="15.75" customHeight="1">
      <c r="A47" s="2">
        <v>44629.0</v>
      </c>
      <c r="B47" s="1">
        <v>84.029999</v>
      </c>
      <c r="C47" s="1">
        <v>86.57</v>
      </c>
      <c r="D47" s="1">
        <v>81.599998</v>
      </c>
      <c r="E47" s="1">
        <v>82.790001</v>
      </c>
      <c r="F47" s="1">
        <v>80.513809</v>
      </c>
      <c r="G47" s="1">
        <v>6.54667E7</v>
      </c>
      <c r="H47" s="1">
        <f t="shared" si="5"/>
        <v>0.2040701275</v>
      </c>
    </row>
    <row r="48" ht="15.75" customHeight="1">
      <c r="A48" s="2">
        <v>44630.0</v>
      </c>
      <c r="B48" s="1">
        <v>84.010002</v>
      </c>
      <c r="C48" s="1">
        <v>85.68</v>
      </c>
      <c r="D48" s="1">
        <v>82.900002</v>
      </c>
      <c r="E48" s="1">
        <v>85.360001</v>
      </c>
      <c r="F48" s="1">
        <v>83.013153</v>
      </c>
      <c r="G48" s="1">
        <v>4.46442E7</v>
      </c>
      <c r="H48" s="1">
        <f t="shared" si="5"/>
        <v>9.130919985</v>
      </c>
    </row>
    <row r="49" ht="15.75" customHeight="1">
      <c r="A49" s="2">
        <v>44631.0</v>
      </c>
      <c r="B49" s="1">
        <v>84.07</v>
      </c>
      <c r="C49" s="1">
        <v>86.230003</v>
      </c>
      <c r="D49" s="1">
        <v>83.970001</v>
      </c>
      <c r="E49" s="1">
        <v>84.919998</v>
      </c>
      <c r="F49" s="1">
        <v>82.585243</v>
      </c>
      <c r="G49" s="1">
        <v>3.53034E7</v>
      </c>
      <c r="H49" s="1">
        <f t="shared" si="5"/>
        <v>6.665372223</v>
      </c>
    </row>
    <row r="50" ht="15.75" customHeight="1">
      <c r="A50" s="2">
        <v>44634.0</v>
      </c>
      <c r="B50" s="1">
        <v>83.059998</v>
      </c>
      <c r="C50" s="1">
        <v>83.449997</v>
      </c>
      <c r="D50" s="1">
        <v>80.5</v>
      </c>
      <c r="E50" s="1">
        <v>81.879997</v>
      </c>
      <c r="F50" s="1">
        <v>79.628822</v>
      </c>
      <c r="G50" s="1">
        <v>3.74626E7</v>
      </c>
      <c r="H50" s="1">
        <f t="shared" si="5"/>
        <v>0.2100047779</v>
      </c>
    </row>
    <row r="51" ht="15.75" customHeight="1">
      <c r="A51" s="2">
        <v>44635.0</v>
      </c>
      <c r="B51" s="1">
        <v>78.82</v>
      </c>
      <c r="C51" s="1">
        <v>79.169998</v>
      </c>
      <c r="D51" s="1">
        <v>76.370003</v>
      </c>
      <c r="E51" s="1">
        <v>77.220001</v>
      </c>
      <c r="F51" s="1">
        <v>75.096954</v>
      </c>
      <c r="G51" s="1">
        <v>4.79579E7</v>
      </c>
      <c r="H51" s="1">
        <f t="shared" si="5"/>
        <v>26.19657297</v>
      </c>
    </row>
    <row r="52" ht="15.75" customHeight="1">
      <c r="A52" s="2">
        <v>44636.0</v>
      </c>
      <c r="B52" s="1">
        <v>77.809998</v>
      </c>
      <c r="C52" s="1">
        <v>78.620003</v>
      </c>
      <c r="D52" s="1">
        <v>76.25</v>
      </c>
      <c r="E52" s="1">
        <v>76.93</v>
      </c>
      <c r="F52" s="1">
        <v>74.814926</v>
      </c>
      <c r="G52" s="1">
        <v>3.78123E7</v>
      </c>
      <c r="H52" s="1">
        <f t="shared" si="5"/>
        <v>29.24927388</v>
      </c>
    </row>
    <row r="53" ht="15.75" customHeight="1">
      <c r="A53" s="2">
        <v>44637.0</v>
      </c>
      <c r="B53" s="1">
        <v>78.18</v>
      </c>
      <c r="C53" s="1">
        <v>79.150002</v>
      </c>
      <c r="D53" s="1">
        <v>77.07</v>
      </c>
      <c r="E53" s="1">
        <v>78.980003</v>
      </c>
      <c r="F53" s="1">
        <v>76.808563</v>
      </c>
      <c r="G53" s="1">
        <v>3.40419E7</v>
      </c>
      <c r="H53" s="1">
        <f t="shared" si="5"/>
        <v>11.27788862</v>
      </c>
    </row>
    <row r="54" ht="15.75" customHeight="1">
      <c r="A54" s="2">
        <v>44638.0</v>
      </c>
      <c r="B54" s="1">
        <v>79.059998</v>
      </c>
      <c r="C54" s="1">
        <v>79.389999</v>
      </c>
      <c r="D54" s="1">
        <v>78.099998</v>
      </c>
      <c r="E54" s="1">
        <v>78.669998</v>
      </c>
      <c r="F54" s="1">
        <v>76.50708</v>
      </c>
      <c r="G54" s="1">
        <v>4.14615E7</v>
      </c>
      <c r="H54" s="1">
        <f t="shared" si="5"/>
        <v>13.45614451</v>
      </c>
    </row>
    <row r="55" ht="15.75" customHeight="1">
      <c r="A55" s="2">
        <v>44641.0</v>
      </c>
      <c r="B55" s="1">
        <v>80.120003</v>
      </c>
      <c r="C55" s="1">
        <v>82.519997</v>
      </c>
      <c r="D55" s="1">
        <v>79.739998</v>
      </c>
      <c r="E55" s="1">
        <v>82.199997</v>
      </c>
      <c r="F55" s="1">
        <v>79.940025</v>
      </c>
      <c r="G55" s="1">
        <v>3.30893E7</v>
      </c>
      <c r="H55" s="1">
        <f t="shared" si="5"/>
        <v>0.01911659705</v>
      </c>
    </row>
    <row r="56" ht="15.75" customHeight="1">
      <c r="A56" s="2">
        <v>44642.0</v>
      </c>
      <c r="B56" s="1">
        <v>81.629997</v>
      </c>
      <c r="C56" s="1">
        <v>82.199997</v>
      </c>
      <c r="D56" s="1">
        <v>80.790001</v>
      </c>
      <c r="E56" s="1">
        <v>81.839996</v>
      </c>
      <c r="F56" s="1">
        <v>79.589928</v>
      </c>
      <c r="G56" s="1">
        <v>2.31322E7</v>
      </c>
      <c r="H56" s="1">
        <f t="shared" si="5"/>
        <v>0.2482667971</v>
      </c>
    </row>
    <row r="57" ht="15.75" customHeight="1">
      <c r="A57" s="2">
        <v>44643.0</v>
      </c>
      <c r="B57" s="1">
        <v>83.339996</v>
      </c>
      <c r="C57" s="1">
        <v>84.269997</v>
      </c>
      <c r="D57" s="1">
        <v>83.050003</v>
      </c>
      <c r="E57" s="1">
        <v>83.129997</v>
      </c>
      <c r="F57" s="1">
        <v>80.84446</v>
      </c>
      <c r="G57" s="1">
        <v>2.77163E7</v>
      </c>
      <c r="H57" s="1">
        <f t="shared" si="5"/>
        <v>0.6268478214</v>
      </c>
    </row>
    <row r="58" ht="15.75" customHeight="1">
      <c r="A58" s="2">
        <v>44644.0</v>
      </c>
      <c r="B58" s="1">
        <v>83.459999</v>
      </c>
      <c r="C58" s="1">
        <v>84.650002</v>
      </c>
      <c r="D58" s="1">
        <v>82.75</v>
      </c>
      <c r="E58" s="1">
        <v>83.379997</v>
      </c>
      <c r="F58" s="1">
        <v>81.087593</v>
      </c>
      <c r="G58" s="1">
        <v>1.98716E7</v>
      </c>
      <c r="H58" s="1">
        <f t="shared" si="5"/>
        <v>1.08521643</v>
      </c>
    </row>
    <row r="59" ht="15.75" customHeight="1">
      <c r="A59" s="2">
        <v>44645.0</v>
      </c>
      <c r="B59" s="1">
        <v>82.919998</v>
      </c>
      <c r="C59" s="1">
        <v>85.489998</v>
      </c>
      <c r="D59" s="1">
        <v>82.790001</v>
      </c>
      <c r="E59" s="1">
        <v>85.199997</v>
      </c>
      <c r="F59" s="1">
        <v>82.857552</v>
      </c>
      <c r="G59" s="1">
        <v>2.23983E7</v>
      </c>
      <c r="H59" s="1">
        <f t="shared" si="5"/>
        <v>8.189539901</v>
      </c>
    </row>
    <row r="60" ht="15.75" customHeight="1">
      <c r="A60" s="2">
        <v>44648.0</v>
      </c>
      <c r="B60" s="1">
        <v>83.169998</v>
      </c>
      <c r="C60" s="1">
        <v>83.309998</v>
      </c>
      <c r="D60" s="1">
        <v>82.019997</v>
      </c>
      <c r="E60" s="1">
        <v>82.809998</v>
      </c>
      <c r="F60" s="1">
        <v>80.533264</v>
      </c>
      <c r="G60" s="1">
        <v>2.15524E7</v>
      </c>
      <c r="H60" s="1">
        <f t="shared" si="5"/>
        <v>0.2225369457</v>
      </c>
    </row>
    <row r="61" ht="15.75" customHeight="1">
      <c r="A61" s="2">
        <v>44649.0</v>
      </c>
      <c r="B61" s="1">
        <v>80.809998</v>
      </c>
      <c r="C61" s="1">
        <v>82.489998</v>
      </c>
      <c r="D61" s="1">
        <v>79.760002</v>
      </c>
      <c r="E61" s="1">
        <v>82.370003</v>
      </c>
      <c r="F61" s="1">
        <v>80.105362</v>
      </c>
      <c r="G61" s="1">
        <v>2.70363E7</v>
      </c>
      <c r="H61" s="1">
        <f t="shared" si="5"/>
        <v>0.00100763185</v>
      </c>
    </row>
    <row r="62" ht="15.75" customHeight="1">
      <c r="A62" s="2">
        <v>44650.0</v>
      </c>
      <c r="B62" s="1">
        <v>83.059998</v>
      </c>
      <c r="C62" s="1">
        <v>84.010002</v>
      </c>
      <c r="D62" s="1">
        <v>82.709999</v>
      </c>
      <c r="E62" s="1">
        <v>83.779999</v>
      </c>
      <c r="F62" s="1">
        <v>81.476593</v>
      </c>
      <c r="G62" s="1">
        <v>2.2079E7</v>
      </c>
      <c r="H62" s="1">
        <f t="shared" si="5"/>
        <v>2.078611971</v>
      </c>
    </row>
    <row r="63" ht="15.75" customHeight="1">
      <c r="A63" s="2">
        <v>44651.0</v>
      </c>
      <c r="B63" s="1">
        <v>82.870003</v>
      </c>
      <c r="C63" s="1">
        <v>84.400002</v>
      </c>
      <c r="D63" s="1">
        <v>82.550003</v>
      </c>
      <c r="E63" s="1">
        <v>82.589996</v>
      </c>
      <c r="F63" s="1">
        <v>80.319305</v>
      </c>
      <c r="G63" s="1">
        <v>2.78615E7</v>
      </c>
      <c r="H63" s="1">
        <f t="shared" si="5"/>
        <v>0.06337112315</v>
      </c>
    </row>
    <row r="64" ht="15.75" customHeight="1">
      <c r="A64" s="2">
        <v>44652.0</v>
      </c>
      <c r="B64" s="1">
        <v>81.989998</v>
      </c>
      <c r="C64" s="1">
        <v>84.139999</v>
      </c>
      <c r="D64" s="1">
        <v>81.989998</v>
      </c>
      <c r="E64" s="1">
        <v>83.120003</v>
      </c>
      <c r="F64" s="1">
        <v>80.83474</v>
      </c>
      <c r="G64" s="1">
        <v>1.86711E7</v>
      </c>
      <c r="H64" s="1">
        <f t="shared" ref="H64:H83" si="6">(E64-$P$7)^2</f>
        <v>4.908428286</v>
      </c>
      <c r="I64" s="1">
        <f>COUNT(H64:H83)</f>
        <v>20</v>
      </c>
    </row>
    <row r="65" ht="15.75" customHeight="1">
      <c r="A65" s="2">
        <v>44655.0</v>
      </c>
      <c r="B65" s="1">
        <v>83.559998</v>
      </c>
      <c r="C65" s="1">
        <v>83.660004</v>
      </c>
      <c r="D65" s="1">
        <v>82.050003</v>
      </c>
      <c r="E65" s="1">
        <v>83.160004</v>
      </c>
      <c r="F65" s="1">
        <v>80.87365</v>
      </c>
      <c r="G65" s="1">
        <v>2.08694E7</v>
      </c>
      <c r="H65" s="1">
        <f t="shared" si="6"/>
        <v>4.732784151</v>
      </c>
    </row>
    <row r="66" ht="15.75" customHeight="1">
      <c r="A66" s="2">
        <v>44656.0</v>
      </c>
      <c r="B66" s="1">
        <v>83.5</v>
      </c>
      <c r="C66" s="1">
        <v>85.07</v>
      </c>
      <c r="D66" s="1">
        <v>82.559998</v>
      </c>
      <c r="E66" s="1">
        <v>82.730003</v>
      </c>
      <c r="F66" s="1">
        <v>80.455475</v>
      </c>
      <c r="G66" s="1">
        <v>2.17531E7</v>
      </c>
      <c r="H66" s="1">
        <f t="shared" si="6"/>
        <v>6.78861618</v>
      </c>
    </row>
    <row r="67" ht="15.75" customHeight="1">
      <c r="A67" s="2">
        <v>44657.0</v>
      </c>
      <c r="B67" s="1">
        <v>83.419998</v>
      </c>
      <c r="C67" s="1">
        <v>84.699997</v>
      </c>
      <c r="D67" s="1">
        <v>82.940002</v>
      </c>
      <c r="E67" s="1">
        <v>83.650002</v>
      </c>
      <c r="F67" s="1">
        <v>81.350174</v>
      </c>
      <c r="G67" s="1">
        <v>2.47682E7</v>
      </c>
      <c r="H67" s="1">
        <f t="shared" si="6"/>
        <v>2.840904519</v>
      </c>
    </row>
    <row r="68" ht="15.75" customHeight="1">
      <c r="A68" s="2">
        <v>44658.0</v>
      </c>
      <c r="B68" s="1">
        <v>83.830002</v>
      </c>
      <c r="C68" s="1">
        <v>85.440002</v>
      </c>
      <c r="D68" s="1">
        <v>82.709999</v>
      </c>
      <c r="E68" s="1">
        <v>85.050003</v>
      </c>
      <c r="F68" s="1">
        <v>82.711678</v>
      </c>
      <c r="G68" s="1">
        <v>2.6122E7</v>
      </c>
      <c r="H68" s="1">
        <f t="shared" si="6"/>
        <v>0.08150870831</v>
      </c>
    </row>
    <row r="69" ht="15.75" customHeight="1">
      <c r="A69" s="2">
        <v>44659.0</v>
      </c>
      <c r="B69" s="1">
        <v>85.169998</v>
      </c>
      <c r="C69" s="1">
        <v>87.209999</v>
      </c>
      <c r="D69" s="1">
        <v>85.169998</v>
      </c>
      <c r="E69" s="1">
        <v>86.839996</v>
      </c>
      <c r="F69" s="1">
        <v>84.452461</v>
      </c>
      <c r="G69" s="1">
        <v>2.48665E7</v>
      </c>
      <c r="H69" s="1">
        <f t="shared" si="6"/>
        <v>2.263507311</v>
      </c>
    </row>
    <row r="70" ht="15.75" customHeight="1">
      <c r="A70" s="2">
        <v>44662.0</v>
      </c>
      <c r="B70" s="1">
        <v>85.779999</v>
      </c>
      <c r="C70" s="1">
        <v>85.93</v>
      </c>
      <c r="D70" s="1">
        <v>83.5</v>
      </c>
      <c r="E70" s="1">
        <v>83.849998</v>
      </c>
      <c r="F70" s="1">
        <v>81.54467</v>
      </c>
      <c r="G70" s="1">
        <v>2.18001E7</v>
      </c>
      <c r="H70" s="1">
        <f t="shared" si="6"/>
        <v>2.206717083</v>
      </c>
    </row>
    <row r="71" ht="15.75" customHeight="1">
      <c r="A71" s="2">
        <v>44663.0</v>
      </c>
      <c r="B71" s="1">
        <v>85.709999</v>
      </c>
      <c r="C71" s="1">
        <v>86.82</v>
      </c>
      <c r="D71" s="1">
        <v>85.379997</v>
      </c>
      <c r="E71" s="1">
        <v>85.599998</v>
      </c>
      <c r="F71" s="1">
        <v>83.246559</v>
      </c>
      <c r="G71" s="1">
        <v>2.24442E7</v>
      </c>
      <c r="H71" s="1">
        <f t="shared" si="6"/>
        <v>0.06995903331</v>
      </c>
    </row>
    <row r="72" ht="15.75" customHeight="1">
      <c r="A72" s="2">
        <v>44664.0</v>
      </c>
      <c r="B72" s="1">
        <v>86.610001</v>
      </c>
      <c r="C72" s="1">
        <v>87.110001</v>
      </c>
      <c r="D72" s="1">
        <v>85.190002</v>
      </c>
      <c r="E72" s="1">
        <v>86.809998</v>
      </c>
      <c r="F72" s="1">
        <v>84.423294</v>
      </c>
      <c r="G72" s="1">
        <v>1.93068E7</v>
      </c>
      <c r="H72" s="1">
        <f t="shared" si="6"/>
        <v>2.174143467</v>
      </c>
    </row>
    <row r="73" ht="15.75" customHeight="1">
      <c r="A73" s="2">
        <v>44665.0</v>
      </c>
      <c r="B73" s="1">
        <v>86.669998</v>
      </c>
      <c r="C73" s="1">
        <v>88.459999</v>
      </c>
      <c r="D73" s="1">
        <v>86.230003</v>
      </c>
      <c r="E73" s="1">
        <v>87.830002</v>
      </c>
      <c r="F73" s="1">
        <v>85.415245</v>
      </c>
      <c r="G73" s="1">
        <v>2.45664E7</v>
      </c>
      <c r="H73" s="1">
        <f t="shared" si="6"/>
        <v>6.222538731</v>
      </c>
    </row>
    <row r="74" ht="15.75" customHeight="1">
      <c r="A74" s="2">
        <v>44669.0</v>
      </c>
      <c r="B74" s="1">
        <v>88.5</v>
      </c>
      <c r="C74" s="1">
        <v>88.889999</v>
      </c>
      <c r="D74" s="1">
        <v>87.75</v>
      </c>
      <c r="E74" s="1">
        <v>88.550003</v>
      </c>
      <c r="F74" s="1">
        <v>86.115463</v>
      </c>
      <c r="G74" s="1">
        <v>1.90323E7</v>
      </c>
      <c r="H74" s="1">
        <f t="shared" si="6"/>
        <v>10.33302761</v>
      </c>
    </row>
    <row r="75" ht="15.75" customHeight="1">
      <c r="A75" s="2">
        <v>44670.0</v>
      </c>
      <c r="B75" s="1">
        <v>88.010002</v>
      </c>
      <c r="C75" s="1">
        <v>88.660004</v>
      </c>
      <c r="D75" s="1">
        <v>87.269997</v>
      </c>
      <c r="E75" s="1">
        <v>87.760002</v>
      </c>
      <c r="F75" s="1">
        <v>85.347176</v>
      </c>
      <c r="G75" s="1">
        <v>2.03826E7</v>
      </c>
      <c r="H75" s="1">
        <f t="shared" si="6"/>
        <v>5.878208493</v>
      </c>
    </row>
    <row r="76" ht="15.75" customHeight="1">
      <c r="A76" s="2">
        <v>44671.0</v>
      </c>
      <c r="B76" s="1">
        <v>87.970001</v>
      </c>
      <c r="C76" s="1">
        <v>88.5</v>
      </c>
      <c r="D76" s="1">
        <v>87.300003</v>
      </c>
      <c r="E76" s="1">
        <v>87.959999</v>
      </c>
      <c r="F76" s="1">
        <v>85.541664</v>
      </c>
      <c r="G76" s="1">
        <v>2.06894E7</v>
      </c>
      <c r="H76" s="1">
        <f t="shared" si="6"/>
        <v>6.887993426</v>
      </c>
    </row>
    <row r="77" ht="15.75" customHeight="1">
      <c r="A77" s="2">
        <v>44672.0</v>
      </c>
      <c r="B77" s="1">
        <v>88.949997</v>
      </c>
      <c r="C77" s="1">
        <v>89.800003</v>
      </c>
      <c r="D77" s="1">
        <v>86.790001</v>
      </c>
      <c r="E77" s="1">
        <v>87.029999</v>
      </c>
      <c r="F77" s="1">
        <v>84.637238</v>
      </c>
      <c r="G77" s="1">
        <v>2.90109E7</v>
      </c>
      <c r="H77" s="1">
        <f t="shared" si="6"/>
        <v>2.871325844</v>
      </c>
    </row>
    <row r="78" ht="15.75" customHeight="1">
      <c r="A78" s="2">
        <v>44673.0</v>
      </c>
      <c r="B78" s="1">
        <v>86.660004</v>
      </c>
      <c r="C78" s="1">
        <v>88.120003</v>
      </c>
      <c r="D78" s="1">
        <v>85.0</v>
      </c>
      <c r="E78" s="1">
        <v>85.129997</v>
      </c>
      <c r="F78" s="1">
        <v>82.789474</v>
      </c>
      <c r="G78" s="1">
        <v>2.35916E7</v>
      </c>
      <c r="H78" s="1">
        <f t="shared" si="6"/>
        <v>0.04223160631</v>
      </c>
    </row>
    <row r="79" ht="15.75" customHeight="1">
      <c r="A79" s="2">
        <v>44676.0</v>
      </c>
      <c r="B79" s="1">
        <v>82.370003</v>
      </c>
      <c r="C79" s="1">
        <v>82.660004</v>
      </c>
      <c r="D79" s="1">
        <v>79.290001</v>
      </c>
      <c r="E79" s="1">
        <v>82.260002</v>
      </c>
      <c r="F79" s="1">
        <v>79.99839</v>
      </c>
      <c r="G79" s="1">
        <v>3.76983E7</v>
      </c>
      <c r="H79" s="1">
        <f t="shared" si="6"/>
        <v>9.458689793</v>
      </c>
    </row>
    <row r="80" ht="15.75" customHeight="1">
      <c r="A80" s="2">
        <v>44677.0</v>
      </c>
      <c r="B80" s="1">
        <v>82.730003</v>
      </c>
      <c r="C80" s="1">
        <v>84.720001</v>
      </c>
      <c r="D80" s="1">
        <v>82.18</v>
      </c>
      <c r="E80" s="1">
        <v>82.290001</v>
      </c>
      <c r="F80" s="1">
        <v>80.027565</v>
      </c>
      <c r="G80" s="1">
        <v>2.89415E7</v>
      </c>
      <c r="H80" s="1">
        <f t="shared" si="6"/>
        <v>9.275065986</v>
      </c>
    </row>
    <row r="81" ht="15.75" customHeight="1">
      <c r="A81" s="2">
        <v>44678.0</v>
      </c>
      <c r="B81" s="1">
        <v>83.389999</v>
      </c>
      <c r="C81" s="1">
        <v>85.480003</v>
      </c>
      <c r="D81" s="1">
        <v>82.279999</v>
      </c>
      <c r="E81" s="1">
        <v>84.639999</v>
      </c>
      <c r="F81" s="1">
        <v>82.312943</v>
      </c>
      <c r="G81" s="1">
        <v>3.2773E7</v>
      </c>
      <c r="H81" s="1">
        <f t="shared" si="6"/>
        <v>0.4837220583</v>
      </c>
    </row>
    <row r="82" ht="15.75" customHeight="1">
      <c r="A82" s="2">
        <v>44679.0</v>
      </c>
      <c r="B82" s="1">
        <v>84.879997</v>
      </c>
      <c r="C82" s="1">
        <v>88.139999</v>
      </c>
      <c r="D82" s="1">
        <v>84.07</v>
      </c>
      <c r="E82" s="1">
        <v>87.199997</v>
      </c>
      <c r="F82" s="1">
        <v>84.802567</v>
      </c>
      <c r="G82" s="1">
        <v>3.36838E7</v>
      </c>
      <c r="H82" s="1">
        <f t="shared" si="6"/>
        <v>3.476347944</v>
      </c>
    </row>
    <row r="83" ht="15.75" customHeight="1">
      <c r="A83" s="2">
        <v>44680.0</v>
      </c>
      <c r="B83" s="1">
        <v>88.139999</v>
      </c>
      <c r="C83" s="1">
        <v>88.139999</v>
      </c>
      <c r="D83" s="1">
        <v>84.699997</v>
      </c>
      <c r="E83" s="1">
        <v>85.25</v>
      </c>
      <c r="F83" s="1">
        <v>82.906181</v>
      </c>
      <c r="G83" s="1">
        <v>3.46565E7</v>
      </c>
      <c r="H83" s="1">
        <f t="shared" si="6"/>
        <v>0.0073103013</v>
      </c>
    </row>
    <row r="84" ht="15.75" customHeight="1">
      <c r="A84" s="2">
        <v>44683.0</v>
      </c>
      <c r="B84" s="1">
        <v>85.010002</v>
      </c>
      <c r="C84" s="1">
        <v>87.040001</v>
      </c>
      <c r="D84" s="1">
        <v>84.629997</v>
      </c>
      <c r="E84" s="1">
        <v>86.410004</v>
      </c>
      <c r="F84" s="1">
        <v>84.034294</v>
      </c>
      <c r="G84" s="1">
        <v>3.63352E7</v>
      </c>
      <c r="H84" s="1">
        <f t="shared" ref="H84:H104" si="7">(E84-$P$8)^2</f>
        <v>21.18187493</v>
      </c>
      <c r="I84" s="1">
        <f>COUNT(H84:H104)</f>
        <v>21</v>
      </c>
    </row>
    <row r="85" ht="15.75" customHeight="1">
      <c r="A85" s="2">
        <v>44684.0</v>
      </c>
      <c r="B85" s="1">
        <v>86.260002</v>
      </c>
      <c r="C85" s="1">
        <v>88.779999</v>
      </c>
      <c r="D85" s="1">
        <v>86.120003</v>
      </c>
      <c r="E85" s="1">
        <v>88.190002</v>
      </c>
      <c r="F85" s="1">
        <v>85.765343</v>
      </c>
      <c r="G85" s="1">
        <v>3.39081E7</v>
      </c>
      <c r="H85" s="1">
        <f t="shared" si="7"/>
        <v>7.965823757</v>
      </c>
    </row>
    <row r="86" ht="15.75" customHeight="1">
      <c r="A86" s="2">
        <v>44685.0</v>
      </c>
      <c r="B86" s="1">
        <v>89.5</v>
      </c>
      <c r="C86" s="1">
        <v>91.879997</v>
      </c>
      <c r="D86" s="1">
        <v>88.910004</v>
      </c>
      <c r="E86" s="1">
        <v>91.699997</v>
      </c>
      <c r="F86" s="1">
        <v>89.178841</v>
      </c>
      <c r="G86" s="1">
        <v>4.61884E7</v>
      </c>
      <c r="H86" s="1">
        <f t="shared" si="7"/>
        <v>0.4728156325</v>
      </c>
    </row>
    <row r="87" ht="15.75" customHeight="1">
      <c r="A87" s="2">
        <v>44686.0</v>
      </c>
      <c r="B87" s="1">
        <v>92.040001</v>
      </c>
      <c r="C87" s="1">
        <v>92.050003</v>
      </c>
      <c r="D87" s="1">
        <v>88.389999</v>
      </c>
      <c r="E87" s="1">
        <v>90.309998</v>
      </c>
      <c r="F87" s="1">
        <v>87.827057</v>
      </c>
      <c r="G87" s="1">
        <v>4.10134E7</v>
      </c>
      <c r="H87" s="1">
        <f t="shared" si="7"/>
        <v>0.4933420125</v>
      </c>
    </row>
    <row r="88" ht="15.75" customHeight="1">
      <c r="A88" s="2">
        <v>44687.0</v>
      </c>
      <c r="B88" s="1">
        <v>90.980003</v>
      </c>
      <c r="C88" s="1">
        <v>91.82</v>
      </c>
      <c r="D88" s="1">
        <v>89.349998</v>
      </c>
      <c r="E88" s="1">
        <v>91.690002</v>
      </c>
      <c r="F88" s="1">
        <v>89.169128</v>
      </c>
      <c r="G88" s="1">
        <v>2.96193E7</v>
      </c>
      <c r="H88" s="1">
        <f t="shared" si="7"/>
        <v>0.4591700906</v>
      </c>
    </row>
    <row r="89" ht="15.75" customHeight="1">
      <c r="A89" s="2">
        <v>44690.0</v>
      </c>
      <c r="B89" s="1">
        <v>89.440002</v>
      </c>
      <c r="C89" s="1">
        <v>89.559998</v>
      </c>
      <c r="D89" s="1">
        <v>84.019997</v>
      </c>
      <c r="E89" s="1">
        <v>84.459999</v>
      </c>
      <c r="F89" s="1">
        <v>82.137901</v>
      </c>
      <c r="G89" s="1">
        <v>4.58516E7</v>
      </c>
      <c r="H89" s="1">
        <f t="shared" si="7"/>
        <v>42.93371112</v>
      </c>
    </row>
    <row r="90" ht="15.75" customHeight="1">
      <c r="A90" s="2">
        <v>44691.0</v>
      </c>
      <c r="B90" s="1">
        <v>85.639999</v>
      </c>
      <c r="C90" s="1">
        <v>86.889999</v>
      </c>
      <c r="D90" s="1">
        <v>83.519997</v>
      </c>
      <c r="E90" s="1">
        <v>85.019997</v>
      </c>
      <c r="F90" s="1">
        <v>82.682495</v>
      </c>
      <c r="G90" s="1">
        <v>3.44832E7</v>
      </c>
      <c r="H90" s="1">
        <f t="shared" si="7"/>
        <v>35.90866714</v>
      </c>
    </row>
    <row r="91" ht="15.75" customHeight="1">
      <c r="A91" s="2">
        <v>44692.0</v>
      </c>
      <c r="B91" s="1">
        <v>86.43</v>
      </c>
      <c r="C91" s="1">
        <v>88.940002</v>
      </c>
      <c r="D91" s="1">
        <v>86.279999</v>
      </c>
      <c r="E91" s="1">
        <v>86.790001</v>
      </c>
      <c r="F91" s="1">
        <v>84.403839</v>
      </c>
      <c r="G91" s="1">
        <v>3.30206E7</v>
      </c>
      <c r="H91" s="1">
        <f t="shared" si="7"/>
        <v>17.82849367</v>
      </c>
    </row>
    <row r="92" ht="15.75" customHeight="1">
      <c r="A92" s="2">
        <v>44693.0</v>
      </c>
      <c r="B92" s="1">
        <v>85.949997</v>
      </c>
      <c r="C92" s="1">
        <v>86.379997</v>
      </c>
      <c r="D92" s="1">
        <v>83.400002</v>
      </c>
      <c r="E92" s="1">
        <v>86.300003</v>
      </c>
      <c r="F92" s="1">
        <v>84.787003</v>
      </c>
      <c r="G92" s="1">
        <v>2.94915E7</v>
      </c>
      <c r="H92" s="1">
        <f t="shared" si="7"/>
        <v>22.20650731</v>
      </c>
    </row>
    <row r="93" ht="15.75" customHeight="1">
      <c r="A93" s="2">
        <v>44694.0</v>
      </c>
      <c r="B93" s="1">
        <v>87.360001</v>
      </c>
      <c r="C93" s="1">
        <v>88.949997</v>
      </c>
      <c r="D93" s="1">
        <v>86.349998</v>
      </c>
      <c r="E93" s="1">
        <v>88.860001</v>
      </c>
      <c r="F93" s="1">
        <v>87.302116</v>
      </c>
      <c r="G93" s="1">
        <v>2.57984E7</v>
      </c>
      <c r="H93" s="1">
        <f t="shared" si="7"/>
        <v>4.632740074</v>
      </c>
    </row>
    <row r="94" ht="15.75" customHeight="1">
      <c r="A94" s="2">
        <v>44697.0</v>
      </c>
      <c r="B94" s="1">
        <v>88.980003</v>
      </c>
      <c r="C94" s="1">
        <v>91.980003</v>
      </c>
      <c r="D94" s="1">
        <v>88.970001</v>
      </c>
      <c r="E94" s="1">
        <v>90.949997</v>
      </c>
      <c r="F94" s="1">
        <v>89.355476</v>
      </c>
      <c r="G94" s="1">
        <v>2.61012E7</v>
      </c>
      <c r="H94" s="1">
        <f t="shared" si="7"/>
        <v>0.003891775339</v>
      </c>
    </row>
    <row r="95" ht="15.75" customHeight="1">
      <c r="A95" s="2">
        <v>44698.0</v>
      </c>
      <c r="B95" s="1">
        <v>91.730003</v>
      </c>
      <c r="C95" s="1">
        <v>92.449997</v>
      </c>
      <c r="D95" s="1">
        <v>91.120003</v>
      </c>
      <c r="E95" s="1">
        <v>92.110001</v>
      </c>
      <c r="F95" s="1">
        <v>90.49514</v>
      </c>
      <c r="G95" s="1">
        <v>2.31207E7</v>
      </c>
      <c r="H95" s="1">
        <f t="shared" si="7"/>
        <v>1.204769455</v>
      </c>
    </row>
    <row r="96" ht="15.75" customHeight="1">
      <c r="A96" s="2">
        <v>44699.0</v>
      </c>
      <c r="B96" s="1">
        <v>92.510002</v>
      </c>
      <c r="C96" s="1">
        <v>92.919998</v>
      </c>
      <c r="D96" s="1">
        <v>89.830002</v>
      </c>
      <c r="E96" s="1">
        <v>90.650002</v>
      </c>
      <c r="F96" s="1">
        <v>89.060745</v>
      </c>
      <c r="G96" s="1">
        <v>2.54512E7</v>
      </c>
      <c r="H96" s="1">
        <f t="shared" si="7"/>
        <v>0.1313186087</v>
      </c>
    </row>
    <row r="97" ht="15.75" customHeight="1">
      <c r="A97" s="2">
        <v>44700.0</v>
      </c>
      <c r="B97" s="1">
        <v>89.0</v>
      </c>
      <c r="C97" s="1">
        <v>92.300003</v>
      </c>
      <c r="D97" s="1">
        <v>89.0</v>
      </c>
      <c r="E97" s="1">
        <v>91.139999</v>
      </c>
      <c r="F97" s="1">
        <v>89.542152</v>
      </c>
      <c r="G97" s="1">
        <v>2.43874E7</v>
      </c>
      <c r="H97" s="1">
        <f t="shared" si="7"/>
        <v>0.01628632962</v>
      </c>
    </row>
    <row r="98" ht="15.75" customHeight="1">
      <c r="A98" s="2">
        <v>44701.0</v>
      </c>
      <c r="B98" s="1">
        <v>91.93</v>
      </c>
      <c r="C98" s="1">
        <v>93.589996</v>
      </c>
      <c r="D98" s="1">
        <v>90.400002</v>
      </c>
      <c r="E98" s="1">
        <v>91.860001</v>
      </c>
      <c r="F98" s="1">
        <v>90.249527</v>
      </c>
      <c r="G98" s="1">
        <v>2.8795E7</v>
      </c>
      <c r="H98" s="1">
        <f t="shared" si="7"/>
        <v>0.7184595029</v>
      </c>
    </row>
    <row r="99" ht="15.75" customHeight="1">
      <c r="A99" s="2">
        <v>44704.0</v>
      </c>
      <c r="B99" s="1">
        <v>92.660004</v>
      </c>
      <c r="C99" s="1">
        <v>94.769997</v>
      </c>
      <c r="D99" s="1">
        <v>92.550003</v>
      </c>
      <c r="E99" s="1">
        <v>93.889999</v>
      </c>
      <c r="F99" s="1">
        <v>92.243935</v>
      </c>
      <c r="G99" s="1">
        <v>2.72393E7</v>
      </c>
      <c r="H99" s="1">
        <f t="shared" si="7"/>
        <v>8.280684806</v>
      </c>
    </row>
    <row r="100" ht="15.75" customHeight="1">
      <c r="A100" s="2">
        <v>44705.0</v>
      </c>
      <c r="B100" s="1">
        <v>92.82</v>
      </c>
      <c r="C100" s="1">
        <v>94.790001</v>
      </c>
      <c r="D100" s="1">
        <v>92.32</v>
      </c>
      <c r="E100" s="1">
        <v>94.400002</v>
      </c>
      <c r="F100" s="1">
        <v>92.744995</v>
      </c>
      <c r="G100" s="1">
        <v>2.42933E7</v>
      </c>
      <c r="H100" s="1">
        <f t="shared" si="7"/>
        <v>11.47597539</v>
      </c>
    </row>
    <row r="101" ht="15.75" customHeight="1">
      <c r="A101" s="2">
        <v>44706.0</v>
      </c>
      <c r="B101" s="1">
        <v>94.580002</v>
      </c>
      <c r="C101" s="1">
        <v>96.529999</v>
      </c>
      <c r="D101" s="1">
        <v>94.470001</v>
      </c>
      <c r="E101" s="1">
        <v>96.300003</v>
      </c>
      <c r="F101" s="1">
        <v>94.611679</v>
      </c>
      <c r="G101" s="1">
        <v>2.99478E7</v>
      </c>
      <c r="H101" s="1">
        <f t="shared" si="7"/>
        <v>27.95894541</v>
      </c>
    </row>
    <row r="102" ht="15.75" customHeight="1">
      <c r="A102" s="2">
        <v>44707.0</v>
      </c>
      <c r="B102" s="1">
        <v>96.599998</v>
      </c>
      <c r="C102" s="1">
        <v>97.43</v>
      </c>
      <c r="D102" s="1">
        <v>96.199997</v>
      </c>
      <c r="E102" s="1">
        <v>96.639999</v>
      </c>
      <c r="F102" s="1">
        <v>94.945724</v>
      </c>
      <c r="G102" s="1">
        <v>2.43148E7</v>
      </c>
      <c r="H102" s="1">
        <f t="shared" si="7"/>
        <v>31.67008328</v>
      </c>
    </row>
    <row r="103" ht="15.75" customHeight="1">
      <c r="A103" s="2">
        <v>44708.0</v>
      </c>
      <c r="B103" s="1">
        <v>95.949997</v>
      </c>
      <c r="C103" s="1">
        <v>97.93</v>
      </c>
      <c r="D103" s="1">
        <v>95.300003</v>
      </c>
      <c r="E103" s="1">
        <v>97.589996</v>
      </c>
      <c r="F103" s="1">
        <v>95.879059</v>
      </c>
      <c r="G103" s="1">
        <v>2.55888E7</v>
      </c>
      <c r="H103" s="1">
        <f t="shared" si="7"/>
        <v>43.26501784</v>
      </c>
    </row>
    <row r="104" ht="15.75" customHeight="1">
      <c r="A104" s="2">
        <v>44712.0</v>
      </c>
      <c r="B104" s="1">
        <v>98.559998</v>
      </c>
      <c r="C104" s="1">
        <v>99.779999</v>
      </c>
      <c r="D104" s="1">
        <v>95.709999</v>
      </c>
      <c r="E104" s="1">
        <v>96.0</v>
      </c>
      <c r="F104" s="1">
        <v>94.316948</v>
      </c>
      <c r="G104" s="1">
        <v>4.48881E7</v>
      </c>
      <c r="H104" s="1">
        <f t="shared" si="7"/>
        <v>24.87634234</v>
      </c>
    </row>
    <row r="105" ht="15.75" customHeight="1">
      <c r="A105" s="2">
        <v>44713.0</v>
      </c>
      <c r="B105" s="1">
        <v>97.019997</v>
      </c>
      <c r="C105" s="1">
        <v>98.709999</v>
      </c>
      <c r="D105" s="1">
        <v>96.620003</v>
      </c>
      <c r="E105" s="1">
        <v>97.839996</v>
      </c>
      <c r="F105" s="1">
        <v>96.12468</v>
      </c>
      <c r="G105" s="1">
        <v>2.58154E7</v>
      </c>
      <c r="H105" s="1">
        <f t="shared" ref="H105:H125" si="8">(E105-$P$9)^2</f>
        <v>14.64335117</v>
      </c>
      <c r="I105" s="1">
        <f>COUNT(H105:H125)</f>
        <v>21</v>
      </c>
    </row>
    <row r="106" ht="15.75" customHeight="1">
      <c r="A106" s="2">
        <v>44714.0</v>
      </c>
      <c r="B106" s="1">
        <v>97.290001</v>
      </c>
      <c r="C106" s="1">
        <v>98.099998</v>
      </c>
      <c r="D106" s="1">
        <v>96.790001</v>
      </c>
      <c r="E106" s="1">
        <v>97.669998</v>
      </c>
      <c r="F106" s="1">
        <v>95.957657</v>
      </c>
      <c r="G106" s="1">
        <v>1.90891E7</v>
      </c>
      <c r="H106" s="1">
        <f t="shared" si="8"/>
        <v>13.37120032</v>
      </c>
    </row>
    <row r="107" ht="15.75" customHeight="1">
      <c r="A107" s="2">
        <v>44715.0</v>
      </c>
      <c r="B107" s="1">
        <v>97.900002</v>
      </c>
      <c r="C107" s="1">
        <v>99.660004</v>
      </c>
      <c r="D107" s="1">
        <v>97.900002</v>
      </c>
      <c r="E107" s="1">
        <v>99.089996</v>
      </c>
      <c r="F107" s="1">
        <v>97.352768</v>
      </c>
      <c r="G107" s="1">
        <v>2.10382E7</v>
      </c>
      <c r="H107" s="1">
        <f t="shared" si="8"/>
        <v>25.77250915</v>
      </c>
    </row>
    <row r="108" ht="15.75" customHeight="1">
      <c r="A108" s="2">
        <v>44718.0</v>
      </c>
      <c r="B108" s="1">
        <v>99.18</v>
      </c>
      <c r="C108" s="1">
        <v>99.779999</v>
      </c>
      <c r="D108" s="1">
        <v>98.669998</v>
      </c>
      <c r="E108" s="1">
        <v>98.839996</v>
      </c>
      <c r="F108" s="1">
        <v>97.107147</v>
      </c>
      <c r="G108" s="1">
        <v>2.06821E7</v>
      </c>
      <c r="H108" s="1">
        <f t="shared" si="8"/>
        <v>23.29667755</v>
      </c>
    </row>
    <row r="109" ht="15.75" customHeight="1">
      <c r="A109" s="2">
        <v>44719.0</v>
      </c>
      <c r="B109" s="1">
        <v>99.699997</v>
      </c>
      <c r="C109" s="1">
        <v>103.43</v>
      </c>
      <c r="D109" s="1">
        <v>99.489998</v>
      </c>
      <c r="E109" s="1">
        <v>103.370003</v>
      </c>
      <c r="F109" s="1">
        <v>101.557732</v>
      </c>
      <c r="G109" s="1">
        <v>3.78102E7</v>
      </c>
      <c r="H109" s="1">
        <f t="shared" si="8"/>
        <v>87.54727705</v>
      </c>
    </row>
    <row r="110" ht="15.75" customHeight="1">
      <c r="A110" s="2">
        <v>44720.0</v>
      </c>
      <c r="B110" s="1">
        <v>103.489998</v>
      </c>
      <c r="C110" s="1">
        <v>105.57</v>
      </c>
      <c r="D110" s="1">
        <v>102.980003</v>
      </c>
      <c r="E110" s="1">
        <v>104.589996</v>
      </c>
      <c r="F110" s="1">
        <v>102.75634</v>
      </c>
      <c r="G110" s="1">
        <v>3.16132E7</v>
      </c>
      <c r="H110" s="1">
        <f t="shared" si="8"/>
        <v>111.8658042</v>
      </c>
    </row>
    <row r="111" ht="15.75" customHeight="1">
      <c r="A111" s="2">
        <v>44721.0</v>
      </c>
      <c r="B111" s="1">
        <v>103.419998</v>
      </c>
      <c r="C111" s="1">
        <v>104.57</v>
      </c>
      <c r="D111" s="1">
        <v>102.160004</v>
      </c>
      <c r="E111" s="1">
        <v>102.330002</v>
      </c>
      <c r="F111" s="1">
        <v>100.535973</v>
      </c>
      <c r="G111" s="1">
        <v>2.6607E7</v>
      </c>
      <c r="H111" s="1">
        <f t="shared" si="8"/>
        <v>69.16698642</v>
      </c>
    </row>
    <row r="112" ht="15.75" customHeight="1">
      <c r="A112" s="2">
        <v>44722.0</v>
      </c>
      <c r="B112" s="1">
        <v>101.940002</v>
      </c>
      <c r="C112" s="1">
        <v>103.349998</v>
      </c>
      <c r="D112" s="1">
        <v>99.790001</v>
      </c>
      <c r="E112" s="1">
        <v>100.459999</v>
      </c>
      <c r="F112" s="1">
        <v>98.698746</v>
      </c>
      <c r="G112" s="1">
        <v>3.09505E7</v>
      </c>
      <c r="H112" s="1">
        <f t="shared" si="8"/>
        <v>41.55950497</v>
      </c>
    </row>
    <row r="113" ht="15.75" customHeight="1">
      <c r="A113" s="2">
        <v>44725.0</v>
      </c>
      <c r="B113" s="1">
        <v>97.519997</v>
      </c>
      <c r="C113" s="1">
        <v>97.769997</v>
      </c>
      <c r="D113" s="1">
        <v>93.919998</v>
      </c>
      <c r="E113" s="1">
        <v>95.849998</v>
      </c>
      <c r="F113" s="1">
        <v>94.169571</v>
      </c>
      <c r="G113" s="1">
        <v>3.3421E7</v>
      </c>
      <c r="H113" s="1">
        <f t="shared" si="8"/>
        <v>3.373339022</v>
      </c>
    </row>
    <row r="114" ht="15.75" customHeight="1">
      <c r="A114" s="2">
        <v>44726.0</v>
      </c>
      <c r="B114" s="1">
        <v>97.410004</v>
      </c>
      <c r="C114" s="1">
        <v>98.669998</v>
      </c>
      <c r="D114" s="1">
        <v>95.269997</v>
      </c>
      <c r="E114" s="1">
        <v>96.099998</v>
      </c>
      <c r="F114" s="1">
        <v>94.415192</v>
      </c>
      <c r="G114" s="1">
        <v>3.1264E7</v>
      </c>
      <c r="H114" s="1">
        <f t="shared" si="8"/>
        <v>4.354171617</v>
      </c>
    </row>
    <row r="115" ht="15.75" customHeight="1">
      <c r="A115" s="2">
        <v>44727.0</v>
      </c>
      <c r="B115" s="1">
        <v>95.989998</v>
      </c>
      <c r="C115" s="1">
        <v>96.57</v>
      </c>
      <c r="D115" s="1">
        <v>93.269997</v>
      </c>
      <c r="E115" s="1">
        <v>94.889999</v>
      </c>
      <c r="F115" s="1">
        <v>93.226402</v>
      </c>
      <c r="G115" s="1">
        <v>2.96208E7</v>
      </c>
      <c r="H115" s="1">
        <f t="shared" si="8"/>
        <v>0.7685436095</v>
      </c>
    </row>
    <row r="116" ht="15.75" customHeight="1">
      <c r="A116" s="2">
        <v>44728.0</v>
      </c>
      <c r="B116" s="1">
        <v>92.410004</v>
      </c>
      <c r="C116" s="1">
        <v>93.129997</v>
      </c>
      <c r="D116" s="1">
        <v>90.279999</v>
      </c>
      <c r="E116" s="1">
        <v>91.389999</v>
      </c>
      <c r="F116" s="1">
        <v>89.787766</v>
      </c>
      <c r="G116" s="1">
        <v>3.56967E7</v>
      </c>
      <c r="H116" s="1">
        <f t="shared" si="8"/>
        <v>6.881880276</v>
      </c>
    </row>
    <row r="117" ht="15.75" customHeight="1">
      <c r="A117" s="2">
        <v>44729.0</v>
      </c>
      <c r="B117" s="1">
        <v>90.959999</v>
      </c>
      <c r="C117" s="1">
        <v>91.349998</v>
      </c>
      <c r="D117" s="1">
        <v>85.660004</v>
      </c>
      <c r="E117" s="1">
        <v>86.120003</v>
      </c>
      <c r="F117" s="1">
        <v>84.610161</v>
      </c>
      <c r="G117" s="1">
        <v>6.46102E7</v>
      </c>
      <c r="H117" s="1">
        <f t="shared" si="8"/>
        <v>62.30465548</v>
      </c>
    </row>
    <row r="118" ht="15.75" customHeight="1">
      <c r="A118" s="2">
        <v>44733.0</v>
      </c>
      <c r="B118" s="1">
        <v>88.580002</v>
      </c>
      <c r="C118" s="1">
        <v>92.529999</v>
      </c>
      <c r="D118" s="1">
        <v>88.519997</v>
      </c>
      <c r="E118" s="1">
        <v>91.480003</v>
      </c>
      <c r="F118" s="1">
        <v>89.87619</v>
      </c>
      <c r="G118" s="1">
        <v>3.59515E7</v>
      </c>
      <c r="H118" s="1">
        <f t="shared" si="8"/>
        <v>6.417759924</v>
      </c>
    </row>
    <row r="119" ht="15.75" customHeight="1">
      <c r="A119" s="2">
        <v>44734.0</v>
      </c>
      <c r="B119" s="1">
        <v>87.540001</v>
      </c>
      <c r="C119" s="1">
        <v>89.760002</v>
      </c>
      <c r="D119" s="1">
        <v>87.529999</v>
      </c>
      <c r="E119" s="1">
        <v>87.860001</v>
      </c>
      <c r="F119" s="1">
        <v>86.319649</v>
      </c>
      <c r="G119" s="1">
        <v>2.97272E7</v>
      </c>
      <c r="H119" s="1">
        <f t="shared" si="8"/>
        <v>37.86349236</v>
      </c>
    </row>
    <row r="120" ht="15.75" customHeight="1">
      <c r="A120" s="2">
        <v>44735.0</v>
      </c>
      <c r="B120" s="1">
        <v>88.660004</v>
      </c>
      <c r="C120" s="1">
        <v>89.050003</v>
      </c>
      <c r="D120" s="1">
        <v>83.519997</v>
      </c>
      <c r="E120" s="1">
        <v>85.209999</v>
      </c>
      <c r="F120" s="1">
        <v>83.71611</v>
      </c>
      <c r="G120" s="1">
        <v>3.57572E7</v>
      </c>
      <c r="H120" s="1">
        <f t="shared" si="8"/>
        <v>77.49868616</v>
      </c>
    </row>
    <row r="121" ht="15.75" customHeight="1">
      <c r="A121" s="2">
        <v>44736.0</v>
      </c>
      <c r="B121" s="1">
        <v>86.949997</v>
      </c>
      <c r="C121" s="1">
        <v>88.400002</v>
      </c>
      <c r="D121" s="1">
        <v>85.809998</v>
      </c>
      <c r="E121" s="1">
        <v>86.900002</v>
      </c>
      <c r="F121" s="1">
        <v>85.376488</v>
      </c>
      <c r="G121" s="1">
        <v>2.6639E7</v>
      </c>
      <c r="H121" s="1">
        <f t="shared" si="8"/>
        <v>50.59947521</v>
      </c>
    </row>
    <row r="122" ht="15.75" customHeight="1">
      <c r="A122" s="2">
        <v>44739.0</v>
      </c>
      <c r="B122" s="1">
        <v>87.809998</v>
      </c>
      <c r="C122" s="1">
        <v>90.040001</v>
      </c>
      <c r="D122" s="1">
        <v>87.669998</v>
      </c>
      <c r="E122" s="1">
        <v>89.029999</v>
      </c>
      <c r="F122" s="1">
        <v>87.469139</v>
      </c>
      <c r="G122" s="1">
        <v>2.54787E7</v>
      </c>
      <c r="H122" s="1">
        <f t="shared" si="8"/>
        <v>24.83361586</v>
      </c>
    </row>
    <row r="123" ht="15.75" customHeight="1">
      <c r="A123" s="2">
        <v>44740.0</v>
      </c>
      <c r="B123" s="1">
        <v>91.120003</v>
      </c>
      <c r="C123" s="1">
        <v>93.239998</v>
      </c>
      <c r="D123" s="1">
        <v>90.349998</v>
      </c>
      <c r="E123" s="1">
        <v>91.5</v>
      </c>
      <c r="F123" s="1">
        <v>89.895836</v>
      </c>
      <c r="G123" s="1">
        <v>3.30969E7</v>
      </c>
      <c r="H123" s="1">
        <f t="shared" si="8"/>
        <v>6.316841811</v>
      </c>
    </row>
    <row r="124" ht="15.75" customHeight="1">
      <c r="A124" s="2">
        <v>44741.0</v>
      </c>
      <c r="B124" s="1">
        <v>92.980003</v>
      </c>
      <c r="C124" s="1">
        <v>93.199997</v>
      </c>
      <c r="D124" s="1">
        <v>87.760002</v>
      </c>
      <c r="E124" s="1">
        <v>88.120003</v>
      </c>
      <c r="F124" s="1">
        <v>86.575096</v>
      </c>
      <c r="G124" s="1">
        <v>2.54009E7</v>
      </c>
      <c r="H124" s="1">
        <f t="shared" si="8"/>
        <v>34.73133624</v>
      </c>
    </row>
    <row r="125" ht="15.75" customHeight="1">
      <c r="A125" s="2">
        <v>44742.0</v>
      </c>
      <c r="B125" s="1">
        <v>86.139999</v>
      </c>
      <c r="C125" s="1">
        <v>87.599998</v>
      </c>
      <c r="D125" s="1">
        <v>84.669998</v>
      </c>
      <c r="E125" s="1">
        <v>85.639999</v>
      </c>
      <c r="F125" s="1">
        <v>84.138573</v>
      </c>
      <c r="G125" s="1">
        <v>3.99481E7</v>
      </c>
      <c r="H125" s="1">
        <f t="shared" si="8"/>
        <v>70.11271909</v>
      </c>
      <c r="I125" s="1">
        <f>COUNT(A105:A125)</f>
        <v>21</v>
      </c>
    </row>
    <row r="126" ht="15.75" customHeight="1">
      <c r="A126" s="2">
        <v>44743.0</v>
      </c>
      <c r="B126" s="1">
        <v>86.739998</v>
      </c>
      <c r="C126" s="1">
        <v>87.879997</v>
      </c>
      <c r="D126" s="1">
        <v>84.709999</v>
      </c>
      <c r="E126" s="1">
        <v>87.550003</v>
      </c>
      <c r="F126" s="1">
        <v>86.015083</v>
      </c>
      <c r="G126" s="1">
        <v>2.63279E7</v>
      </c>
      <c r="H126" s="1">
        <f t="shared" ref="H126:H145" si="9">(E126-$P$10)^2</f>
        <v>0.005550749161</v>
      </c>
      <c r="I126" s="1">
        <f>COUNT(H126:H145)</f>
        <v>20</v>
      </c>
    </row>
    <row r="127" ht="15.75" customHeight="1">
      <c r="A127" s="2">
        <v>44747.0</v>
      </c>
      <c r="B127" s="1">
        <v>86.339996</v>
      </c>
      <c r="C127" s="1">
        <v>86.699997</v>
      </c>
      <c r="D127" s="1">
        <v>83.010002</v>
      </c>
      <c r="E127" s="1">
        <v>84.809998</v>
      </c>
      <c r="F127" s="1">
        <v>83.32312</v>
      </c>
      <c r="G127" s="1">
        <v>3.45911E7</v>
      </c>
      <c r="H127" s="1">
        <f t="shared" si="9"/>
        <v>7.104899046</v>
      </c>
    </row>
    <row r="128" ht="15.75" customHeight="1">
      <c r="A128" s="2">
        <v>44748.0</v>
      </c>
      <c r="B128" s="1">
        <v>83.760002</v>
      </c>
      <c r="C128" s="1">
        <v>85.230003</v>
      </c>
      <c r="D128" s="1">
        <v>81.010002</v>
      </c>
      <c r="E128" s="1">
        <v>83.279999</v>
      </c>
      <c r="F128" s="1">
        <v>81.819946</v>
      </c>
      <c r="G128" s="1">
        <v>3.33757E7</v>
      </c>
      <c r="H128" s="1">
        <f t="shared" si="9"/>
        <v>17.6022257</v>
      </c>
    </row>
    <row r="129" ht="15.75" customHeight="1">
      <c r="A129" s="2">
        <v>44749.0</v>
      </c>
      <c r="B129" s="1">
        <v>85.379997</v>
      </c>
      <c r="C129" s="1">
        <v>86.760002</v>
      </c>
      <c r="D129" s="1">
        <v>85.300003</v>
      </c>
      <c r="E129" s="1">
        <v>85.940002</v>
      </c>
      <c r="F129" s="1">
        <v>84.433319</v>
      </c>
      <c r="G129" s="1">
        <v>2.38174E7</v>
      </c>
      <c r="H129" s="1">
        <f t="shared" si="9"/>
        <v>2.357753033</v>
      </c>
    </row>
    <row r="130" ht="15.75" customHeight="1">
      <c r="A130" s="2">
        <v>44750.0</v>
      </c>
      <c r="B130" s="1">
        <v>86.949997</v>
      </c>
      <c r="C130" s="1">
        <v>87.300003</v>
      </c>
      <c r="D130" s="1">
        <v>84.93</v>
      </c>
      <c r="E130" s="1">
        <v>86.080002</v>
      </c>
      <c r="F130" s="1">
        <v>84.570862</v>
      </c>
      <c r="G130" s="1">
        <v>1.76738E7</v>
      </c>
      <c r="H130" s="1">
        <f t="shared" si="9"/>
        <v>1.947413691</v>
      </c>
    </row>
    <row r="131" ht="15.75" customHeight="1">
      <c r="A131" s="2">
        <v>44753.0</v>
      </c>
      <c r="B131" s="1">
        <v>85.169998</v>
      </c>
      <c r="C131" s="1">
        <v>86.120003</v>
      </c>
      <c r="D131" s="1">
        <v>84.360001</v>
      </c>
      <c r="E131" s="1">
        <v>85.639999</v>
      </c>
      <c r="F131" s="1">
        <v>84.138573</v>
      </c>
      <c r="G131" s="1">
        <v>1.56038E7</v>
      </c>
      <c r="H131" s="1">
        <f t="shared" si="9"/>
        <v>3.369062636</v>
      </c>
    </row>
    <row r="132" ht="15.75" customHeight="1">
      <c r="A132" s="2">
        <v>44754.0</v>
      </c>
      <c r="B132" s="1">
        <v>83.779999</v>
      </c>
      <c r="C132" s="1">
        <v>85.050003</v>
      </c>
      <c r="D132" s="1">
        <v>82.860001</v>
      </c>
      <c r="E132" s="1">
        <v>84.5</v>
      </c>
      <c r="F132" s="1">
        <v>83.018562</v>
      </c>
      <c r="G132" s="1">
        <v>2.1013E7</v>
      </c>
      <c r="H132" s="1">
        <f t="shared" si="9"/>
        <v>8.853598167</v>
      </c>
    </row>
    <row r="133" ht="15.75" customHeight="1">
      <c r="A133" s="2">
        <v>44755.0</v>
      </c>
      <c r="B133" s="1">
        <v>83.379997</v>
      </c>
      <c r="C133" s="1">
        <v>86.309998</v>
      </c>
      <c r="D133" s="1">
        <v>83.300003</v>
      </c>
      <c r="E133" s="1">
        <v>84.839996</v>
      </c>
      <c r="F133" s="1">
        <v>83.352592</v>
      </c>
      <c r="G133" s="1">
        <v>1.99286E7</v>
      </c>
      <c r="H133" s="1">
        <f t="shared" si="9"/>
        <v>6.945879489</v>
      </c>
    </row>
    <row r="134" ht="15.75" customHeight="1">
      <c r="A134" s="2">
        <v>44756.0</v>
      </c>
      <c r="B134" s="1">
        <v>81.849998</v>
      </c>
      <c r="C134" s="1">
        <v>83.309998</v>
      </c>
      <c r="D134" s="1">
        <v>80.690002</v>
      </c>
      <c r="E134" s="1">
        <v>83.139999</v>
      </c>
      <c r="F134" s="1">
        <v>81.682404</v>
      </c>
      <c r="G134" s="1">
        <v>2.6343E7</v>
      </c>
      <c r="H134" s="1">
        <f t="shared" si="9"/>
        <v>18.79656589</v>
      </c>
    </row>
    <row r="135" ht="15.75" customHeight="1">
      <c r="A135" s="2">
        <v>44757.0</v>
      </c>
      <c r="B135" s="1">
        <v>84.800003</v>
      </c>
      <c r="C135" s="1">
        <v>84.879997</v>
      </c>
      <c r="D135" s="1">
        <v>82.900002</v>
      </c>
      <c r="E135" s="1">
        <v>84.540001</v>
      </c>
      <c r="F135" s="1">
        <v>83.057854</v>
      </c>
      <c r="G135" s="1">
        <v>1.72437E7</v>
      </c>
      <c r="H135" s="1">
        <f t="shared" si="9"/>
        <v>8.617152324</v>
      </c>
    </row>
    <row r="136" ht="15.75" customHeight="1">
      <c r="A136" s="2">
        <v>44760.0</v>
      </c>
      <c r="B136" s="1">
        <v>86.580002</v>
      </c>
      <c r="C136" s="1">
        <v>87.940002</v>
      </c>
      <c r="D136" s="1">
        <v>85.75</v>
      </c>
      <c r="E136" s="1">
        <v>86.099998</v>
      </c>
      <c r="F136" s="1">
        <v>84.590508</v>
      </c>
      <c r="G136" s="1">
        <v>1.93958E7</v>
      </c>
      <c r="H136" s="1">
        <f t="shared" si="9"/>
        <v>1.892004789</v>
      </c>
    </row>
    <row r="137" ht="15.75" customHeight="1">
      <c r="A137" s="2">
        <v>44761.0</v>
      </c>
      <c r="B137" s="1">
        <v>86.419998</v>
      </c>
      <c r="C137" s="1">
        <v>88.519997</v>
      </c>
      <c r="D137" s="1">
        <v>86.25</v>
      </c>
      <c r="E137" s="1">
        <v>88.269997</v>
      </c>
      <c r="F137" s="1">
        <v>86.722458</v>
      </c>
      <c r="G137" s="1">
        <v>1.82489E7</v>
      </c>
      <c r="H137" s="1">
        <f t="shared" si="9"/>
        <v>0.6312260392</v>
      </c>
    </row>
    <row r="138" ht="15.75" customHeight="1">
      <c r="A138" s="2">
        <v>44762.0</v>
      </c>
      <c r="B138" s="1">
        <v>87.580002</v>
      </c>
      <c r="C138" s="1">
        <v>89.650002</v>
      </c>
      <c r="D138" s="1">
        <v>87.25</v>
      </c>
      <c r="E138" s="1">
        <v>89.239998</v>
      </c>
      <c r="F138" s="1">
        <v>87.675453</v>
      </c>
      <c r="G138" s="1">
        <v>1.65844E7</v>
      </c>
      <c r="H138" s="1">
        <f t="shared" si="9"/>
        <v>3.113454427</v>
      </c>
    </row>
    <row r="139" ht="15.75" customHeight="1">
      <c r="A139" s="2">
        <v>44763.0</v>
      </c>
      <c r="B139" s="1">
        <v>86.93</v>
      </c>
      <c r="C139" s="1">
        <v>87.800003</v>
      </c>
      <c r="D139" s="1">
        <v>85.209999</v>
      </c>
      <c r="E139" s="1">
        <v>87.75</v>
      </c>
      <c r="F139" s="1">
        <v>86.211578</v>
      </c>
      <c r="G139" s="1">
        <v>2.13757E7</v>
      </c>
      <c r="H139" s="1">
        <f t="shared" si="9"/>
        <v>0.07535044215</v>
      </c>
    </row>
    <row r="140" ht="15.75" customHeight="1">
      <c r="A140" s="2">
        <v>44764.0</v>
      </c>
      <c r="B140" s="1">
        <v>87.550003</v>
      </c>
      <c r="C140" s="1">
        <v>88.470001</v>
      </c>
      <c r="D140" s="1">
        <v>86.629997</v>
      </c>
      <c r="E140" s="1">
        <v>87.080002</v>
      </c>
      <c r="F140" s="1">
        <v>85.553322</v>
      </c>
      <c r="G140" s="1">
        <v>1.54795E7</v>
      </c>
      <c r="H140" s="1">
        <f t="shared" si="9"/>
        <v>0.1564183912</v>
      </c>
    </row>
    <row r="141" ht="15.75" customHeight="1">
      <c r="A141" s="2">
        <v>44767.0</v>
      </c>
      <c r="B141" s="1">
        <v>88.160004</v>
      </c>
      <c r="C141" s="1">
        <v>90.129997</v>
      </c>
      <c r="D141" s="1">
        <v>87.419998</v>
      </c>
      <c r="E141" s="1">
        <v>89.980003</v>
      </c>
      <c r="F141" s="1">
        <v>88.402489</v>
      </c>
      <c r="G141" s="1">
        <v>1.75364E7</v>
      </c>
      <c r="H141" s="1">
        <f t="shared" si="9"/>
        <v>6.27253703</v>
      </c>
    </row>
    <row r="142" ht="15.75" customHeight="1">
      <c r="A142" s="2">
        <v>44768.0</v>
      </c>
      <c r="B142" s="1">
        <v>91.129997</v>
      </c>
      <c r="C142" s="1">
        <v>91.279999</v>
      </c>
      <c r="D142" s="1">
        <v>89.0</v>
      </c>
      <c r="E142" s="1">
        <v>89.629997</v>
      </c>
      <c r="F142" s="1">
        <v>88.058617</v>
      </c>
      <c r="G142" s="1">
        <v>1.51412E7</v>
      </c>
      <c r="H142" s="1">
        <f t="shared" si="9"/>
        <v>4.641858831</v>
      </c>
    </row>
    <row r="143" ht="15.75" customHeight="1">
      <c r="A143" s="2">
        <v>44769.0</v>
      </c>
      <c r="B143" s="1">
        <v>90.279999</v>
      </c>
      <c r="C143" s="1">
        <v>92.0</v>
      </c>
      <c r="D143" s="1">
        <v>89.400002</v>
      </c>
      <c r="E143" s="1">
        <v>91.57</v>
      </c>
      <c r="F143" s="1">
        <v>89.964615</v>
      </c>
      <c r="G143" s="1">
        <v>1.8047E7</v>
      </c>
      <c r="H143" s="1">
        <f t="shared" si="9"/>
        <v>16.76493312</v>
      </c>
    </row>
    <row r="144" ht="15.75" customHeight="1">
      <c r="A144" s="2">
        <v>44770.0</v>
      </c>
      <c r="B144" s="1">
        <v>92.18</v>
      </c>
      <c r="C144" s="1">
        <v>93.25</v>
      </c>
      <c r="D144" s="1">
        <v>91.010002</v>
      </c>
      <c r="E144" s="1">
        <v>92.639999</v>
      </c>
      <c r="F144" s="1">
        <v>91.015854</v>
      </c>
      <c r="G144" s="1">
        <v>2.03531E7</v>
      </c>
      <c r="H144" s="1">
        <f t="shared" si="9"/>
        <v>26.67205354</v>
      </c>
    </row>
    <row r="145" ht="15.75" customHeight="1">
      <c r="A145" s="2">
        <v>44771.0</v>
      </c>
      <c r="B145" s="1">
        <v>94.449997</v>
      </c>
      <c r="C145" s="1">
        <v>97.519997</v>
      </c>
      <c r="D145" s="1">
        <v>94.099998</v>
      </c>
      <c r="E145" s="1">
        <v>96.93</v>
      </c>
      <c r="F145" s="1">
        <v>95.230637</v>
      </c>
      <c r="G145" s="1">
        <v>2.98258E7</v>
      </c>
      <c r="H145" s="1">
        <f t="shared" si="9"/>
        <v>89.38757687</v>
      </c>
    </row>
    <row r="146" ht="15.75" customHeight="1">
      <c r="A146" s="2">
        <v>44774.0</v>
      </c>
      <c r="B146" s="1">
        <v>94.790001</v>
      </c>
      <c r="C146" s="1">
        <v>95.349998</v>
      </c>
      <c r="D146" s="1">
        <v>93.230003</v>
      </c>
      <c r="E146" s="1">
        <v>94.480003</v>
      </c>
      <c r="F146" s="1">
        <v>92.823601</v>
      </c>
      <c r="G146" s="1">
        <v>2.07932E7</v>
      </c>
      <c r="H146" s="1">
        <f t="shared" ref="H146:H168" si="10">(E146-$P$11)^2</f>
        <v>0.4624049078</v>
      </c>
      <c r="I146" s="1">
        <f>COUNT(H146:H168)</f>
        <v>23</v>
      </c>
    </row>
    <row r="147" ht="15.75" customHeight="1">
      <c r="A147" s="2">
        <v>44775.0</v>
      </c>
      <c r="B147" s="1">
        <v>94.690002</v>
      </c>
      <c r="C147" s="1">
        <v>95.199997</v>
      </c>
      <c r="D147" s="1">
        <v>93.82</v>
      </c>
      <c r="E147" s="1">
        <v>94.07</v>
      </c>
      <c r="F147" s="1">
        <v>92.420784</v>
      </c>
      <c r="G147" s="1">
        <v>1.67225E7</v>
      </c>
      <c r="H147" s="1">
        <f t="shared" si="10"/>
        <v>0.0729003287</v>
      </c>
    </row>
    <row r="148" ht="15.75" customHeight="1">
      <c r="A148" s="2">
        <v>44776.0</v>
      </c>
      <c r="B148" s="1">
        <v>94.419998</v>
      </c>
      <c r="C148" s="1">
        <v>94.419998</v>
      </c>
      <c r="D148" s="1">
        <v>90.790001</v>
      </c>
      <c r="E148" s="1">
        <v>91.019997</v>
      </c>
      <c r="F148" s="1">
        <v>89.424248</v>
      </c>
      <c r="G148" s="1">
        <v>2.35808E7</v>
      </c>
      <c r="H148" s="1">
        <f t="shared" si="10"/>
        <v>7.728413296</v>
      </c>
    </row>
    <row r="149" ht="15.75" customHeight="1">
      <c r="A149" s="2">
        <v>44777.0</v>
      </c>
      <c r="B149" s="1">
        <v>90.309998</v>
      </c>
      <c r="C149" s="1">
        <v>90.339996</v>
      </c>
      <c r="D149" s="1">
        <v>86.43</v>
      </c>
      <c r="E149" s="1">
        <v>87.190002</v>
      </c>
      <c r="F149" s="1">
        <v>85.6614</v>
      </c>
      <c r="G149" s="1">
        <v>3.18215E7</v>
      </c>
      <c r="H149" s="1">
        <f t="shared" si="10"/>
        <v>43.69206551</v>
      </c>
    </row>
    <row r="150" ht="15.75" customHeight="1">
      <c r="A150" s="2">
        <v>44778.0</v>
      </c>
      <c r="B150" s="1">
        <v>86.360001</v>
      </c>
      <c r="C150" s="1">
        <v>89.690002</v>
      </c>
      <c r="D150" s="1">
        <v>86.279999</v>
      </c>
      <c r="E150" s="1">
        <v>88.449997</v>
      </c>
      <c r="F150" s="1">
        <v>86.8993</v>
      </c>
      <c r="G150" s="1">
        <v>1.7408E7</v>
      </c>
      <c r="H150" s="1">
        <f t="shared" si="10"/>
        <v>28.62252559</v>
      </c>
    </row>
    <row r="151" ht="15.75" customHeight="1">
      <c r="A151" s="2">
        <v>44781.0</v>
      </c>
      <c r="B151" s="1">
        <v>88.610001</v>
      </c>
      <c r="C151" s="1">
        <v>89.599998</v>
      </c>
      <c r="D151" s="1">
        <v>88.220001</v>
      </c>
      <c r="E151" s="1">
        <v>88.949997</v>
      </c>
      <c r="F151" s="1">
        <v>87.390541</v>
      </c>
      <c r="G151" s="1">
        <v>1.44585E7</v>
      </c>
      <c r="H151" s="1">
        <f t="shared" si="10"/>
        <v>23.5225232</v>
      </c>
    </row>
    <row r="152" ht="15.75" customHeight="1">
      <c r="A152" s="2">
        <v>44782.0</v>
      </c>
      <c r="B152" s="1">
        <v>90.050003</v>
      </c>
      <c r="C152" s="1">
        <v>91.610001</v>
      </c>
      <c r="D152" s="1">
        <v>89.949997</v>
      </c>
      <c r="E152" s="1">
        <v>90.589996</v>
      </c>
      <c r="F152" s="1">
        <v>89.001785</v>
      </c>
      <c r="G152" s="1">
        <v>1.90834E7</v>
      </c>
      <c r="H152" s="1">
        <f t="shared" si="10"/>
        <v>10.30412177</v>
      </c>
    </row>
    <row r="153" ht="15.75" customHeight="1">
      <c r="A153" s="2">
        <v>44783.0</v>
      </c>
      <c r="B153" s="1">
        <v>90.68</v>
      </c>
      <c r="C153" s="1">
        <v>91.790001</v>
      </c>
      <c r="D153" s="1">
        <v>89.190002</v>
      </c>
      <c r="E153" s="1">
        <v>91.449997</v>
      </c>
      <c r="F153" s="1">
        <v>89.84671</v>
      </c>
      <c r="G153" s="1">
        <v>1.8302E7</v>
      </c>
      <c r="H153" s="1">
        <f t="shared" si="10"/>
        <v>5.522511239</v>
      </c>
    </row>
    <row r="154" ht="15.75" customHeight="1">
      <c r="A154" s="2">
        <v>44784.0</v>
      </c>
      <c r="B154" s="1">
        <v>91.839996</v>
      </c>
      <c r="C154" s="1">
        <v>94.300003</v>
      </c>
      <c r="D154" s="1">
        <v>91.440002</v>
      </c>
      <c r="E154" s="1">
        <v>93.190002</v>
      </c>
      <c r="F154" s="1">
        <v>92.445793</v>
      </c>
      <c r="G154" s="1">
        <v>1.87979E7</v>
      </c>
      <c r="H154" s="1">
        <f t="shared" si="10"/>
        <v>0.3720968174</v>
      </c>
    </row>
    <row r="155" ht="15.75" customHeight="1">
      <c r="A155" s="2">
        <v>44785.0</v>
      </c>
      <c r="B155" s="1">
        <v>92.480003</v>
      </c>
      <c r="C155" s="1">
        <v>94.019997</v>
      </c>
      <c r="D155" s="1">
        <v>92.110001</v>
      </c>
      <c r="E155" s="1">
        <v>94.0</v>
      </c>
      <c r="F155" s="1">
        <v>93.249321</v>
      </c>
      <c r="G155" s="1">
        <v>1.50582E7</v>
      </c>
      <c r="H155" s="1">
        <f t="shared" si="10"/>
        <v>0.04000024348</v>
      </c>
    </row>
    <row r="156" ht="15.75" customHeight="1">
      <c r="A156" s="2">
        <v>44788.0</v>
      </c>
      <c r="B156" s="1">
        <v>90.529999</v>
      </c>
      <c r="C156" s="1">
        <v>92.730003</v>
      </c>
      <c r="D156" s="1">
        <v>89.660004</v>
      </c>
      <c r="E156" s="1">
        <v>92.32</v>
      </c>
      <c r="F156" s="1">
        <v>91.582733</v>
      </c>
      <c r="G156" s="1">
        <v>2.07552E7</v>
      </c>
      <c r="H156" s="1">
        <f t="shared" si="10"/>
        <v>2.190398198</v>
      </c>
    </row>
    <row r="157" ht="15.75" customHeight="1">
      <c r="A157" s="2">
        <v>44789.0</v>
      </c>
      <c r="B157" s="1">
        <v>92.029999</v>
      </c>
      <c r="C157" s="1">
        <v>92.889999</v>
      </c>
      <c r="D157" s="1">
        <v>91.290001</v>
      </c>
      <c r="E157" s="1">
        <v>91.459999</v>
      </c>
      <c r="F157" s="1">
        <v>90.729607</v>
      </c>
      <c r="G157" s="1">
        <v>1.40382E7</v>
      </c>
      <c r="H157" s="1">
        <f t="shared" si="10"/>
        <v>5.475601831</v>
      </c>
    </row>
    <row r="158" ht="15.75" customHeight="1">
      <c r="A158" s="2">
        <v>44790.0</v>
      </c>
      <c r="B158" s="1">
        <v>91.269997</v>
      </c>
      <c r="C158" s="1">
        <v>93.209999</v>
      </c>
      <c r="D158" s="1">
        <v>90.919998</v>
      </c>
      <c r="E158" s="1">
        <v>92.199997</v>
      </c>
      <c r="F158" s="1">
        <v>91.463692</v>
      </c>
      <c r="G158" s="1">
        <v>1.3678E7</v>
      </c>
      <c r="H158" s="1">
        <f t="shared" si="10"/>
        <v>2.560007652</v>
      </c>
    </row>
    <row r="159" ht="15.75" customHeight="1">
      <c r="A159" s="2">
        <v>44791.0</v>
      </c>
      <c r="B159" s="1">
        <v>93.150002</v>
      </c>
      <c r="C159" s="1">
        <v>95.309998</v>
      </c>
      <c r="D159" s="1">
        <v>93.089996</v>
      </c>
      <c r="E159" s="1">
        <v>94.379997</v>
      </c>
      <c r="F159" s="1">
        <v>93.626282</v>
      </c>
      <c r="G159" s="1">
        <v>1.77704E7</v>
      </c>
      <c r="H159" s="1">
        <f t="shared" si="10"/>
        <v>0.3363972261</v>
      </c>
    </row>
    <row r="160" ht="15.75" customHeight="1">
      <c r="A160" s="2">
        <v>44792.0</v>
      </c>
      <c r="B160" s="1">
        <v>94.160004</v>
      </c>
      <c r="C160" s="1">
        <v>95.199997</v>
      </c>
      <c r="D160" s="1">
        <v>93.800003</v>
      </c>
      <c r="E160" s="1">
        <v>94.080002</v>
      </c>
      <c r="F160" s="1">
        <v>93.328682</v>
      </c>
      <c r="G160" s="1">
        <v>1.61286E7</v>
      </c>
      <c r="H160" s="1">
        <f t="shared" si="10"/>
        <v>0.07840146088</v>
      </c>
    </row>
    <row r="161" ht="15.75" customHeight="1">
      <c r="A161" s="2">
        <v>44795.0</v>
      </c>
      <c r="B161" s="1">
        <v>93.419998</v>
      </c>
      <c r="C161" s="1">
        <v>94.489998</v>
      </c>
      <c r="D161" s="1">
        <v>91.860001</v>
      </c>
      <c r="E161" s="1">
        <v>94.010002</v>
      </c>
      <c r="F161" s="1">
        <v>93.259239</v>
      </c>
      <c r="G161" s="1">
        <v>1.60199E7</v>
      </c>
      <c r="H161" s="1">
        <f t="shared" si="10"/>
        <v>0.04410109566</v>
      </c>
    </row>
    <row r="162" ht="15.75" customHeight="1">
      <c r="A162" s="2">
        <v>44796.0</v>
      </c>
      <c r="B162" s="1">
        <v>95.550003</v>
      </c>
      <c r="C162" s="1">
        <v>98.410004</v>
      </c>
      <c r="D162" s="1">
        <v>95.449997</v>
      </c>
      <c r="E162" s="1">
        <v>98.0</v>
      </c>
      <c r="F162" s="1">
        <v>97.217377</v>
      </c>
      <c r="G162" s="1">
        <v>2.37647E7</v>
      </c>
      <c r="H162" s="1">
        <f t="shared" si="10"/>
        <v>17.64000511</v>
      </c>
    </row>
    <row r="163" ht="15.75" customHeight="1">
      <c r="A163" s="2">
        <v>44797.0</v>
      </c>
      <c r="B163" s="1">
        <v>98.010002</v>
      </c>
      <c r="C163" s="1">
        <v>98.970001</v>
      </c>
      <c r="D163" s="1">
        <v>97.360001</v>
      </c>
      <c r="E163" s="1">
        <v>98.580002</v>
      </c>
      <c r="F163" s="1">
        <v>97.792747</v>
      </c>
      <c r="G163" s="1">
        <v>1.70503E7</v>
      </c>
      <c r="H163" s="1">
        <f t="shared" si="10"/>
        <v>22.84842494</v>
      </c>
    </row>
    <row r="164" ht="15.75" customHeight="1">
      <c r="A164" s="2">
        <v>44798.0</v>
      </c>
      <c r="B164" s="1">
        <v>98.919998</v>
      </c>
      <c r="C164" s="1">
        <v>99.860001</v>
      </c>
      <c r="D164" s="1">
        <v>98.099998</v>
      </c>
      <c r="E164" s="1">
        <v>99.089996</v>
      </c>
      <c r="F164" s="1">
        <v>98.298668</v>
      </c>
      <c r="G164" s="1">
        <v>1.53057E7</v>
      </c>
      <c r="H164" s="1">
        <f t="shared" si="10"/>
        <v>27.98406412</v>
      </c>
    </row>
    <row r="165" ht="15.75" customHeight="1">
      <c r="A165" s="2">
        <v>44799.0</v>
      </c>
      <c r="B165" s="1">
        <v>98.769997</v>
      </c>
      <c r="C165" s="1">
        <v>99.910004</v>
      </c>
      <c r="D165" s="1">
        <v>97.419998</v>
      </c>
      <c r="E165" s="1">
        <v>97.870003</v>
      </c>
      <c r="F165" s="1">
        <v>97.088417</v>
      </c>
      <c r="G165" s="1">
        <v>1.55314E7</v>
      </c>
      <c r="H165" s="1">
        <f t="shared" si="10"/>
        <v>16.56492937</v>
      </c>
    </row>
    <row r="166" ht="15.75" customHeight="1">
      <c r="A166" s="2">
        <v>44802.0</v>
      </c>
      <c r="B166" s="1">
        <v>98.18</v>
      </c>
      <c r="C166" s="1">
        <v>101.559998</v>
      </c>
      <c r="D166" s="1">
        <v>98.139999</v>
      </c>
      <c r="E166" s="1">
        <v>100.120003</v>
      </c>
      <c r="F166" s="1">
        <v>99.32045</v>
      </c>
      <c r="G166" s="1">
        <v>2.30592E7</v>
      </c>
      <c r="H166" s="1">
        <f t="shared" si="10"/>
        <v>39.94244561</v>
      </c>
    </row>
    <row r="167" ht="15.75" customHeight="1">
      <c r="A167" s="2">
        <v>44803.0</v>
      </c>
      <c r="B167" s="1">
        <v>98.360001</v>
      </c>
      <c r="C167" s="1">
        <v>98.620003</v>
      </c>
      <c r="D167" s="1">
        <v>95.82</v>
      </c>
      <c r="E167" s="1">
        <v>96.309998</v>
      </c>
      <c r="F167" s="1">
        <v>95.540871</v>
      </c>
      <c r="G167" s="1">
        <v>1.70868E7</v>
      </c>
      <c r="H167" s="1">
        <f t="shared" si="10"/>
        <v>6.300093016</v>
      </c>
    </row>
    <row r="168" ht="15.75" customHeight="1">
      <c r="A168" s="2">
        <v>44804.0</v>
      </c>
      <c r="B168" s="1">
        <v>94.029999</v>
      </c>
      <c r="C168" s="1">
        <v>96.839996</v>
      </c>
      <c r="D168" s="1">
        <v>93.589996</v>
      </c>
      <c r="E168" s="1">
        <v>95.589996</v>
      </c>
      <c r="F168" s="1">
        <v>94.826622</v>
      </c>
      <c r="G168" s="1">
        <v>1.83409E7</v>
      </c>
      <c r="H168" s="1">
        <f t="shared" si="10"/>
        <v>3.204087859</v>
      </c>
    </row>
    <row r="169" ht="15.75" customHeight="1">
      <c r="A169" s="2">
        <v>44805.0</v>
      </c>
      <c r="B169" s="1">
        <v>94.419998</v>
      </c>
      <c r="C169" s="1">
        <v>95.07</v>
      </c>
      <c r="D169" s="1">
        <v>92.290001</v>
      </c>
      <c r="E169" s="1">
        <v>93.870003</v>
      </c>
      <c r="F169" s="1">
        <v>93.120361</v>
      </c>
      <c r="G169" s="1">
        <v>1.6423E7</v>
      </c>
      <c r="H169" s="1">
        <f t="shared" ref="H169:H189" si="11">(E169-$P$12)^2</f>
        <v>2.806433206</v>
      </c>
      <c r="I169" s="1">
        <f>COUNT(H169:H189)</f>
        <v>21</v>
      </c>
    </row>
    <row r="170" ht="15.75" customHeight="1">
      <c r="A170" s="2">
        <v>44806.0</v>
      </c>
      <c r="B170" s="1">
        <v>96.349998</v>
      </c>
      <c r="C170" s="1">
        <v>96.790001</v>
      </c>
      <c r="D170" s="1">
        <v>95.110001</v>
      </c>
      <c r="E170" s="1">
        <v>95.589996</v>
      </c>
      <c r="F170" s="1">
        <v>94.826622</v>
      </c>
      <c r="G170" s="1">
        <v>1.82068E7</v>
      </c>
      <c r="H170" s="1">
        <f t="shared" si="11"/>
        <v>11.52761553</v>
      </c>
    </row>
    <row r="171" ht="15.75" customHeight="1">
      <c r="A171" s="2">
        <v>44810.0</v>
      </c>
      <c r="B171" s="1">
        <v>96.160004</v>
      </c>
      <c r="C171" s="1">
        <v>96.589996</v>
      </c>
      <c r="D171" s="1">
        <v>94.510002</v>
      </c>
      <c r="E171" s="1">
        <v>94.949997</v>
      </c>
      <c r="F171" s="1">
        <v>94.191734</v>
      </c>
      <c r="G171" s="1">
        <v>1.92015E7</v>
      </c>
      <c r="H171" s="1">
        <f t="shared" si="11"/>
        <v>7.591321217</v>
      </c>
    </row>
    <row r="172" ht="15.75" customHeight="1">
      <c r="A172" s="2">
        <v>44811.0</v>
      </c>
      <c r="B172" s="1">
        <v>93.190002</v>
      </c>
      <c r="C172" s="1">
        <v>94.589996</v>
      </c>
      <c r="D172" s="1">
        <v>92.300003</v>
      </c>
      <c r="E172" s="1">
        <v>94.139999</v>
      </c>
      <c r="F172" s="1">
        <v>93.388199</v>
      </c>
      <c r="G172" s="1">
        <v>1.62747E7</v>
      </c>
      <c r="H172" s="1">
        <f t="shared" si="11"/>
        <v>3.783947912</v>
      </c>
    </row>
    <row r="173" ht="15.75" customHeight="1">
      <c r="A173" s="2">
        <v>44812.0</v>
      </c>
      <c r="B173" s="1">
        <v>94.660004</v>
      </c>
      <c r="C173" s="1">
        <v>95.419998</v>
      </c>
      <c r="D173" s="1">
        <v>93.720001</v>
      </c>
      <c r="E173" s="1">
        <v>94.910004</v>
      </c>
      <c r="F173" s="1">
        <v>94.152054</v>
      </c>
      <c r="G173" s="1">
        <v>1.87592E7</v>
      </c>
      <c r="H173" s="1">
        <f t="shared" si="11"/>
        <v>7.372540412</v>
      </c>
    </row>
    <row r="174" ht="15.75" customHeight="1">
      <c r="A174" s="2">
        <v>44813.0</v>
      </c>
      <c r="B174" s="1">
        <v>96.519997</v>
      </c>
      <c r="C174" s="1">
        <v>97.0</v>
      </c>
      <c r="D174" s="1">
        <v>95.32</v>
      </c>
      <c r="E174" s="1">
        <v>96.5</v>
      </c>
      <c r="F174" s="1">
        <v>95.729355</v>
      </c>
      <c r="G174" s="1">
        <v>1.7158E7</v>
      </c>
      <c r="H174" s="1">
        <f t="shared" si="11"/>
        <v>18.53507629</v>
      </c>
    </row>
    <row r="175" ht="15.75" customHeight="1">
      <c r="A175" s="2">
        <v>44816.0</v>
      </c>
      <c r="B175" s="1">
        <v>97.650002</v>
      </c>
      <c r="C175" s="1">
        <v>99.190002</v>
      </c>
      <c r="D175" s="1">
        <v>96.879997</v>
      </c>
      <c r="E175" s="1">
        <v>97.610001</v>
      </c>
      <c r="F175" s="1">
        <v>96.83049</v>
      </c>
      <c r="G175" s="1">
        <v>1.61189E7</v>
      </c>
      <c r="H175" s="1">
        <f t="shared" si="11"/>
        <v>29.32481601</v>
      </c>
    </row>
    <row r="176" ht="15.75" customHeight="1">
      <c r="A176" s="2">
        <v>44817.0</v>
      </c>
      <c r="B176" s="1">
        <v>96.610001</v>
      </c>
      <c r="C176" s="1">
        <v>97.779999</v>
      </c>
      <c r="D176" s="1">
        <v>94.910004</v>
      </c>
      <c r="E176" s="1">
        <v>95.330002</v>
      </c>
      <c r="F176" s="1">
        <v>94.568703</v>
      </c>
      <c r="G176" s="1">
        <v>1.82291E7</v>
      </c>
      <c r="H176" s="1">
        <f t="shared" si="11"/>
        <v>9.829731351</v>
      </c>
    </row>
    <row r="177" ht="15.75" customHeight="1">
      <c r="A177" s="2">
        <v>44818.0</v>
      </c>
      <c r="B177" s="1">
        <v>96.190002</v>
      </c>
      <c r="C177" s="1">
        <v>98.559998</v>
      </c>
      <c r="D177" s="1">
        <v>96.150002</v>
      </c>
      <c r="E177" s="1">
        <v>97.669998</v>
      </c>
      <c r="F177" s="1">
        <v>96.890007</v>
      </c>
      <c r="G177" s="1">
        <v>2.26557E7</v>
      </c>
      <c r="H177" s="1">
        <f t="shared" si="11"/>
        <v>29.97821186</v>
      </c>
    </row>
    <row r="178" ht="15.75" customHeight="1">
      <c r="A178" s="2">
        <v>44819.0</v>
      </c>
      <c r="B178" s="1">
        <v>96.220001</v>
      </c>
      <c r="C178" s="1">
        <v>96.540001</v>
      </c>
      <c r="D178" s="1">
        <v>94.050003</v>
      </c>
      <c r="E178" s="1">
        <v>94.830002</v>
      </c>
      <c r="F178" s="1">
        <v>94.072693</v>
      </c>
      <c r="G178" s="1">
        <v>2.10923E7</v>
      </c>
      <c r="H178" s="1">
        <f t="shared" si="11"/>
        <v>6.944491112</v>
      </c>
    </row>
    <row r="179" ht="15.75" customHeight="1">
      <c r="A179" s="2">
        <v>44820.0</v>
      </c>
      <c r="B179" s="1">
        <v>95.07</v>
      </c>
      <c r="C179" s="1">
        <v>95.339996</v>
      </c>
      <c r="D179" s="1">
        <v>92.0</v>
      </c>
      <c r="E179" s="1">
        <v>93.209999</v>
      </c>
      <c r="F179" s="1">
        <v>92.46563</v>
      </c>
      <c r="G179" s="1">
        <v>3.78747E7</v>
      </c>
      <c r="H179" s="1">
        <f t="shared" si="11"/>
        <v>1.03070665</v>
      </c>
    </row>
    <row r="180" ht="15.75" customHeight="1">
      <c r="A180" s="2">
        <v>44823.0</v>
      </c>
      <c r="B180" s="1">
        <v>91.010002</v>
      </c>
      <c r="C180" s="1">
        <v>93.489998</v>
      </c>
      <c r="D180" s="1">
        <v>91.0</v>
      </c>
      <c r="E180" s="1">
        <v>93.199997</v>
      </c>
      <c r="F180" s="1">
        <v>92.455704</v>
      </c>
      <c r="G180" s="1">
        <v>1.53421E7</v>
      </c>
      <c r="H180" s="1">
        <f t="shared" si="11"/>
        <v>1.010497884</v>
      </c>
    </row>
    <row r="181" ht="15.75" customHeight="1">
      <c r="A181" s="2">
        <v>44824.0</v>
      </c>
      <c r="B181" s="1">
        <v>92.730003</v>
      </c>
      <c r="C181" s="1">
        <v>92.93</v>
      </c>
      <c r="D181" s="1">
        <v>91.639999</v>
      </c>
      <c r="E181" s="1">
        <v>92.440002</v>
      </c>
      <c r="F181" s="1">
        <v>91.701782</v>
      </c>
      <c r="G181" s="1">
        <v>1.47125E7</v>
      </c>
      <c r="H181" s="1">
        <f t="shared" si="11"/>
        <v>0.06014277438</v>
      </c>
    </row>
    <row r="182" ht="15.75" customHeight="1">
      <c r="A182" s="2">
        <v>44825.0</v>
      </c>
      <c r="B182" s="1">
        <v>93.57</v>
      </c>
      <c r="C182" s="1">
        <v>93.879997</v>
      </c>
      <c r="D182" s="1">
        <v>90.870003</v>
      </c>
      <c r="E182" s="1">
        <v>90.949997</v>
      </c>
      <c r="F182" s="1">
        <v>90.223679</v>
      </c>
      <c r="G182" s="1">
        <v>1.73324E7</v>
      </c>
      <c r="H182" s="1">
        <f t="shared" si="11"/>
        <v>1.549439312</v>
      </c>
    </row>
    <row r="183" ht="15.75" customHeight="1">
      <c r="A183" s="2">
        <v>44826.0</v>
      </c>
      <c r="B183" s="1">
        <v>92.199997</v>
      </c>
      <c r="C183" s="1">
        <v>92.660004</v>
      </c>
      <c r="D183" s="1">
        <v>90.519997</v>
      </c>
      <c r="E183" s="1">
        <v>90.57</v>
      </c>
      <c r="F183" s="1">
        <v>89.84671</v>
      </c>
      <c r="G183" s="1">
        <v>1.61394E7</v>
      </c>
      <c r="H183" s="1">
        <f t="shared" si="11"/>
        <v>2.639850783</v>
      </c>
    </row>
    <row r="184" ht="15.75" customHeight="1">
      <c r="A184" s="2">
        <v>44827.0</v>
      </c>
      <c r="B184" s="1">
        <v>87.5</v>
      </c>
      <c r="C184" s="1">
        <v>87.5</v>
      </c>
      <c r="D184" s="1">
        <v>84.849998</v>
      </c>
      <c r="E184" s="1">
        <v>85.75</v>
      </c>
      <c r="F184" s="1">
        <v>85.065208</v>
      </c>
      <c r="G184" s="1">
        <v>2.77388E7</v>
      </c>
      <c r="H184" s="1">
        <f t="shared" si="11"/>
        <v>41.53495417</v>
      </c>
    </row>
    <row r="185" ht="15.75" customHeight="1">
      <c r="A185" s="2">
        <v>44830.0</v>
      </c>
      <c r="B185" s="1">
        <v>84.900002</v>
      </c>
      <c r="C185" s="1">
        <v>86.220001</v>
      </c>
      <c r="D185" s="1">
        <v>83.889999</v>
      </c>
      <c r="E185" s="1">
        <v>83.980003</v>
      </c>
      <c r="F185" s="1">
        <v>83.309341</v>
      </c>
      <c r="G185" s="1">
        <v>2.20434E7</v>
      </c>
      <c r="H185" s="1">
        <f t="shared" si="11"/>
        <v>67.48226152</v>
      </c>
    </row>
    <row r="186" ht="15.75" customHeight="1">
      <c r="A186" s="2">
        <v>44831.0</v>
      </c>
      <c r="B186" s="1">
        <v>85.610001</v>
      </c>
      <c r="C186" s="1">
        <v>86.959999</v>
      </c>
      <c r="D186" s="1">
        <v>84.809998</v>
      </c>
      <c r="E186" s="1">
        <v>85.739998</v>
      </c>
      <c r="F186" s="1">
        <v>85.055283</v>
      </c>
      <c r="G186" s="1">
        <v>1.73073E7</v>
      </c>
      <c r="H186" s="1">
        <f t="shared" si="11"/>
        <v>41.66397522</v>
      </c>
    </row>
    <row r="187" ht="15.75" customHeight="1">
      <c r="A187" s="2">
        <v>44832.0</v>
      </c>
      <c r="B187" s="1">
        <v>86.120003</v>
      </c>
      <c r="C187" s="1">
        <v>89.300003</v>
      </c>
      <c r="D187" s="1">
        <v>85.919998</v>
      </c>
      <c r="E187" s="1">
        <v>88.860001</v>
      </c>
      <c r="F187" s="1">
        <v>88.150368</v>
      </c>
      <c r="G187" s="1">
        <v>1.95433E7</v>
      </c>
      <c r="H187" s="1">
        <f t="shared" si="11"/>
        <v>11.12062934</v>
      </c>
    </row>
    <row r="188" ht="15.75" customHeight="1">
      <c r="A188" s="2">
        <v>44833.0</v>
      </c>
      <c r="B188" s="1">
        <v>88.18</v>
      </c>
      <c r="C188" s="1">
        <v>89.360001</v>
      </c>
      <c r="D188" s="1">
        <v>87.129997</v>
      </c>
      <c r="E188" s="1">
        <v>88.68</v>
      </c>
      <c r="F188" s="1">
        <v>87.971809</v>
      </c>
      <c r="G188" s="1">
        <v>1.7896E7</v>
      </c>
      <c r="H188" s="1">
        <f t="shared" si="11"/>
        <v>12.35355024</v>
      </c>
    </row>
    <row r="189" ht="15.75" customHeight="1">
      <c r="A189" s="2">
        <v>44834.0</v>
      </c>
      <c r="B189" s="1">
        <v>88.169998</v>
      </c>
      <c r="C189" s="1">
        <v>89.040001</v>
      </c>
      <c r="D189" s="1">
        <v>87.309998</v>
      </c>
      <c r="E189" s="1">
        <v>87.309998</v>
      </c>
      <c r="F189" s="1">
        <v>86.612747</v>
      </c>
      <c r="G189" s="1">
        <v>2.13576E7</v>
      </c>
      <c r="H189" s="1">
        <f t="shared" si="11"/>
        <v>23.86091701</v>
      </c>
    </row>
    <row r="190" ht="15.75" customHeight="1">
      <c r="A190" s="2">
        <v>44837.0</v>
      </c>
      <c r="B190" s="1">
        <v>90.040001</v>
      </c>
      <c r="C190" s="1">
        <v>92.360001</v>
      </c>
      <c r="D190" s="1">
        <v>89.720001</v>
      </c>
      <c r="E190" s="1">
        <v>91.919998</v>
      </c>
      <c r="F190" s="1">
        <v>91.185928</v>
      </c>
      <c r="G190" s="1">
        <v>2.38813E7</v>
      </c>
      <c r="H190" s="1">
        <f t="shared" ref="H190:H210" si="12">(E190-$P$13)^2</f>
        <v>108.8445459</v>
      </c>
      <c r="I190" s="1">
        <f>COUNT(H190:H210)</f>
        <v>21</v>
      </c>
    </row>
    <row r="191" ht="15.75" customHeight="1">
      <c r="A191" s="2">
        <v>44838.0</v>
      </c>
      <c r="B191" s="1">
        <v>93.239998</v>
      </c>
      <c r="C191" s="1">
        <v>95.360001</v>
      </c>
      <c r="D191" s="1">
        <v>92.709999</v>
      </c>
      <c r="E191" s="1">
        <v>95.269997</v>
      </c>
      <c r="F191" s="1">
        <v>94.509178</v>
      </c>
      <c r="G191" s="1">
        <v>2.21337E7</v>
      </c>
      <c r="H191" s="1">
        <f t="shared" si="12"/>
        <v>50.16690511</v>
      </c>
    </row>
    <row r="192" ht="15.75" customHeight="1">
      <c r="A192" s="2">
        <v>44839.0</v>
      </c>
      <c r="B192" s="1">
        <v>95.75</v>
      </c>
      <c r="C192" s="1">
        <v>99.989998</v>
      </c>
      <c r="D192" s="1">
        <v>95.660004</v>
      </c>
      <c r="E192" s="1">
        <v>99.120003</v>
      </c>
      <c r="F192" s="1">
        <v>98.328438</v>
      </c>
      <c r="G192" s="1">
        <v>3.48577E7</v>
      </c>
      <c r="H192" s="1">
        <f t="shared" si="12"/>
        <v>10.45134468</v>
      </c>
    </row>
    <row r="193" ht="15.75" customHeight="1">
      <c r="A193" s="2">
        <v>44840.0</v>
      </c>
      <c r="B193" s="1">
        <v>98.470001</v>
      </c>
      <c r="C193" s="1">
        <v>102.18</v>
      </c>
      <c r="D193" s="1">
        <v>98.330002</v>
      </c>
      <c r="E193" s="1">
        <v>102.059998</v>
      </c>
      <c r="F193" s="1">
        <v>101.244949</v>
      </c>
      <c r="G193" s="1">
        <v>2.91247E7</v>
      </c>
      <c r="H193" s="1">
        <f t="shared" si="12"/>
        <v>0.08576636599</v>
      </c>
    </row>
    <row r="194" ht="15.75" customHeight="1">
      <c r="A194" s="2">
        <v>44841.0</v>
      </c>
      <c r="B194" s="1">
        <v>102.190002</v>
      </c>
      <c r="C194" s="1">
        <v>103.32</v>
      </c>
      <c r="D194" s="1">
        <v>100.18</v>
      </c>
      <c r="E194" s="1">
        <v>101.029999</v>
      </c>
      <c r="F194" s="1">
        <v>100.223175</v>
      </c>
      <c r="G194" s="1">
        <v>2.45076E7</v>
      </c>
      <c r="H194" s="1">
        <f t="shared" si="12"/>
        <v>1.749953162</v>
      </c>
    </row>
    <row r="195" ht="15.75" customHeight="1">
      <c r="A195" s="2">
        <v>44844.0</v>
      </c>
      <c r="B195" s="1">
        <v>101.489998</v>
      </c>
      <c r="C195" s="1">
        <v>102.029999</v>
      </c>
      <c r="D195" s="1">
        <v>98.720001</v>
      </c>
      <c r="E195" s="1">
        <v>98.839996</v>
      </c>
      <c r="F195" s="1">
        <v>98.050667</v>
      </c>
      <c r="G195" s="1">
        <v>1.67861E7</v>
      </c>
      <c r="H195" s="1">
        <f t="shared" si="12"/>
        <v>12.34019207</v>
      </c>
    </row>
    <row r="196" ht="15.75" customHeight="1">
      <c r="A196" s="2">
        <v>44845.0</v>
      </c>
      <c r="B196" s="1">
        <v>97.220001</v>
      </c>
      <c r="C196" s="1">
        <v>99.760002</v>
      </c>
      <c r="D196" s="1">
        <v>96.75</v>
      </c>
      <c r="E196" s="1">
        <v>98.0</v>
      </c>
      <c r="F196" s="1">
        <v>97.217377</v>
      </c>
      <c r="G196" s="1">
        <v>1.78041E7</v>
      </c>
      <c r="H196" s="1">
        <f t="shared" si="12"/>
        <v>18.94736365</v>
      </c>
    </row>
    <row r="197" ht="15.75" customHeight="1">
      <c r="A197" s="2">
        <v>44846.0</v>
      </c>
      <c r="B197" s="1">
        <v>97.5</v>
      </c>
      <c r="C197" s="1">
        <v>98.910004</v>
      </c>
      <c r="D197" s="1">
        <v>97.230003</v>
      </c>
      <c r="E197" s="1">
        <v>98.43</v>
      </c>
      <c r="F197" s="1">
        <v>97.643944</v>
      </c>
      <c r="G197" s="1">
        <v>1.26358E7</v>
      </c>
      <c r="H197" s="1">
        <f t="shared" si="12"/>
        <v>15.38880667</v>
      </c>
    </row>
    <row r="198" ht="15.75" customHeight="1">
      <c r="A198" s="2">
        <v>44847.0</v>
      </c>
      <c r="B198" s="1">
        <v>97.550003</v>
      </c>
      <c r="C198" s="1">
        <v>102.449997</v>
      </c>
      <c r="D198" s="1">
        <v>97.400002</v>
      </c>
      <c r="E198" s="1">
        <v>101.870003</v>
      </c>
      <c r="F198" s="1">
        <v>101.056473</v>
      </c>
      <c r="G198" s="1">
        <v>2.20191E7</v>
      </c>
      <c r="H198" s="1">
        <f t="shared" si="12"/>
        <v>0.2331479393</v>
      </c>
    </row>
    <row r="199" ht="15.75" customHeight="1">
      <c r="A199" s="2">
        <v>44848.0</v>
      </c>
      <c r="B199" s="1">
        <v>101.120003</v>
      </c>
      <c r="C199" s="1">
        <v>102.239998</v>
      </c>
      <c r="D199" s="1">
        <v>99.040001</v>
      </c>
      <c r="E199" s="1">
        <v>99.190002</v>
      </c>
      <c r="F199" s="1">
        <v>98.397873</v>
      </c>
      <c r="G199" s="1">
        <v>1.5222E7</v>
      </c>
      <c r="H199" s="1">
        <f t="shared" si="12"/>
        <v>10.00365145</v>
      </c>
    </row>
    <row r="200" ht="15.75" customHeight="1">
      <c r="A200" s="2">
        <v>44851.0</v>
      </c>
      <c r="B200" s="1">
        <v>101.07</v>
      </c>
      <c r="C200" s="1">
        <v>101.970001</v>
      </c>
      <c r="D200" s="1">
        <v>100.5</v>
      </c>
      <c r="E200" s="1">
        <v>100.620003</v>
      </c>
      <c r="F200" s="1">
        <v>99.81646</v>
      </c>
      <c r="G200" s="1">
        <v>1.42832E7</v>
      </c>
      <c r="H200" s="1">
        <f t="shared" si="12"/>
        <v>3.00278282</v>
      </c>
    </row>
    <row r="201" ht="15.75" customHeight="1">
      <c r="A201" s="2">
        <v>44852.0</v>
      </c>
      <c r="B201" s="1">
        <v>101.540001</v>
      </c>
      <c r="C201" s="1">
        <v>102.349998</v>
      </c>
      <c r="D201" s="1">
        <v>99.230003</v>
      </c>
      <c r="E201" s="1">
        <v>100.800003</v>
      </c>
      <c r="F201" s="1">
        <v>99.995018</v>
      </c>
      <c r="G201" s="1">
        <v>1.40654E7</v>
      </c>
      <c r="H201" s="1">
        <f t="shared" si="12"/>
        <v>2.411355397</v>
      </c>
    </row>
    <row r="202" ht="15.75" customHeight="1">
      <c r="A202" s="2">
        <v>44853.0</v>
      </c>
      <c r="B202" s="1">
        <v>101.25</v>
      </c>
      <c r="C202" s="1">
        <v>103.989998</v>
      </c>
      <c r="D202" s="1">
        <v>101.230003</v>
      </c>
      <c r="E202" s="1">
        <v>103.790001</v>
      </c>
      <c r="F202" s="1">
        <v>102.961136</v>
      </c>
      <c r="G202" s="1">
        <v>2.09217E7</v>
      </c>
      <c r="H202" s="1">
        <f t="shared" si="12"/>
        <v>2.065383014</v>
      </c>
    </row>
    <row r="203" ht="15.75" customHeight="1">
      <c r="A203" s="2">
        <v>44854.0</v>
      </c>
      <c r="B203" s="1">
        <v>104.32</v>
      </c>
      <c r="C203" s="1">
        <v>105.0</v>
      </c>
      <c r="D203" s="1">
        <v>103.410004</v>
      </c>
      <c r="E203" s="1">
        <v>103.93</v>
      </c>
      <c r="F203" s="1">
        <v>103.100021</v>
      </c>
      <c r="G203" s="1">
        <v>1.7649E7</v>
      </c>
      <c r="H203" s="1">
        <f t="shared" si="12"/>
        <v>2.487380193</v>
      </c>
    </row>
    <row r="204" ht="15.75" customHeight="1">
      <c r="A204" s="2">
        <v>44855.0</v>
      </c>
      <c r="B204" s="1">
        <v>104.449997</v>
      </c>
      <c r="C204" s="1">
        <v>106.400002</v>
      </c>
      <c r="D204" s="1">
        <v>103.910004</v>
      </c>
      <c r="E204" s="1">
        <v>105.860001</v>
      </c>
      <c r="F204" s="1">
        <v>105.01461</v>
      </c>
      <c r="G204" s="1">
        <v>2.28141E7</v>
      </c>
      <c r="H204" s="1">
        <f t="shared" si="12"/>
        <v>12.30005937</v>
      </c>
    </row>
    <row r="205" ht="15.75" customHeight="1">
      <c r="A205" s="2">
        <v>44858.0</v>
      </c>
      <c r="B205" s="1">
        <v>105.660004</v>
      </c>
      <c r="C205" s="1">
        <v>107.68</v>
      </c>
      <c r="D205" s="1">
        <v>105.120003</v>
      </c>
      <c r="E205" s="1">
        <v>106.599998</v>
      </c>
      <c r="F205" s="1">
        <v>105.748695</v>
      </c>
      <c r="G205" s="1">
        <v>1.70242E7</v>
      </c>
      <c r="H205" s="1">
        <f t="shared" si="12"/>
        <v>18.03820708</v>
      </c>
    </row>
    <row r="206" ht="15.75" customHeight="1">
      <c r="A206" s="2">
        <v>44859.0</v>
      </c>
      <c r="B206" s="1">
        <v>106.410004</v>
      </c>
      <c r="C206" s="1">
        <v>107.330002</v>
      </c>
      <c r="D206" s="1">
        <v>105.07</v>
      </c>
      <c r="E206" s="1">
        <v>105.879997</v>
      </c>
      <c r="F206" s="1">
        <v>105.034447</v>
      </c>
      <c r="G206" s="1">
        <v>1.57198E7</v>
      </c>
      <c r="H206" s="1">
        <f t="shared" si="12"/>
        <v>12.44071692</v>
      </c>
    </row>
    <row r="207" ht="15.75" customHeight="1">
      <c r="A207" s="2">
        <v>44860.0</v>
      </c>
      <c r="B207" s="1">
        <v>106.260002</v>
      </c>
      <c r="C207" s="1">
        <v>107.830002</v>
      </c>
      <c r="D207" s="1">
        <v>106.0</v>
      </c>
      <c r="E207" s="1">
        <v>107.139999</v>
      </c>
      <c r="F207" s="1">
        <v>106.284386</v>
      </c>
      <c r="G207" s="1">
        <v>1.73838E7</v>
      </c>
      <c r="H207" s="1">
        <f t="shared" si="12"/>
        <v>22.91672898</v>
      </c>
    </row>
    <row r="208" ht="15.75" customHeight="1">
      <c r="A208" s="2">
        <v>44861.0</v>
      </c>
      <c r="B208" s="1">
        <v>108.410004</v>
      </c>
      <c r="C208" s="1">
        <v>109.580002</v>
      </c>
      <c r="D208" s="1">
        <v>107.419998</v>
      </c>
      <c r="E208" s="1">
        <v>107.550003</v>
      </c>
      <c r="F208" s="1">
        <v>106.691116</v>
      </c>
      <c r="G208" s="1">
        <v>1.8214E7</v>
      </c>
      <c r="H208" s="1">
        <f t="shared" si="12"/>
        <v>27.01032704</v>
      </c>
    </row>
    <row r="209" ht="15.75" customHeight="1">
      <c r="A209" s="2">
        <v>44862.0</v>
      </c>
      <c r="B209" s="1">
        <v>109.459999</v>
      </c>
      <c r="C209" s="1">
        <v>111.209999</v>
      </c>
      <c r="D209" s="1">
        <v>108.120003</v>
      </c>
      <c r="E209" s="1">
        <v>110.699997</v>
      </c>
      <c r="F209" s="1">
        <v>109.815956</v>
      </c>
      <c r="G209" s="1">
        <v>2.81694E7</v>
      </c>
      <c r="H209" s="1">
        <f t="shared" si="12"/>
        <v>69.67474697</v>
      </c>
    </row>
    <row r="210" ht="15.75" customHeight="1">
      <c r="A210" s="2">
        <v>44865.0</v>
      </c>
      <c r="B210" s="1">
        <v>109.5</v>
      </c>
      <c r="C210" s="1">
        <v>112.910004</v>
      </c>
      <c r="D210" s="1">
        <v>109.440002</v>
      </c>
      <c r="E210" s="1">
        <v>110.809998</v>
      </c>
      <c r="F210" s="1">
        <v>109.925072</v>
      </c>
      <c r="G210" s="1">
        <v>2.64018E7</v>
      </c>
      <c r="H210" s="1">
        <f t="shared" si="12"/>
        <v>71.5232347</v>
      </c>
    </row>
    <row r="211" ht="15.75" customHeight="1">
      <c r="A211" s="2">
        <v>44866.0</v>
      </c>
      <c r="B211" s="1">
        <v>112.370003</v>
      </c>
      <c r="C211" s="1">
        <v>112.57</v>
      </c>
      <c r="D211" s="1">
        <v>110.650002</v>
      </c>
      <c r="E211" s="1">
        <v>111.910004</v>
      </c>
      <c r="F211" s="1">
        <v>111.016296</v>
      </c>
      <c r="G211" s="1">
        <v>2.22131E7</v>
      </c>
      <c r="H211" s="1">
        <f t="shared" ref="H211:H231" si="13">(E211-$P$14)^2</f>
        <v>0.05714182904</v>
      </c>
      <c r="I211" s="1">
        <f>COUNT(H211:H231)</f>
        <v>21</v>
      </c>
    </row>
    <row r="212" ht="15.75" customHeight="1">
      <c r="A212" s="2">
        <v>44867.0</v>
      </c>
      <c r="B212" s="1">
        <v>111.580002</v>
      </c>
      <c r="C212" s="1">
        <v>112.099998</v>
      </c>
      <c r="D212" s="1">
        <v>109.309998</v>
      </c>
      <c r="E212" s="1">
        <v>109.610001</v>
      </c>
      <c r="F212" s="1">
        <v>108.734657</v>
      </c>
      <c r="G212" s="1">
        <v>2.06542E7</v>
      </c>
      <c r="H212" s="1">
        <f t="shared" si="13"/>
        <v>6.446757492</v>
      </c>
    </row>
    <row r="213" ht="15.75" customHeight="1">
      <c r="A213" s="2">
        <v>44868.0</v>
      </c>
      <c r="B213" s="1">
        <v>108.580002</v>
      </c>
      <c r="C213" s="1">
        <v>111.82</v>
      </c>
      <c r="D213" s="1">
        <v>108.309998</v>
      </c>
      <c r="E213" s="1">
        <v>111.099998</v>
      </c>
      <c r="F213" s="1">
        <v>110.212761</v>
      </c>
      <c r="G213" s="1">
        <v>1.71037E7</v>
      </c>
      <c r="H213" s="1">
        <f t="shared" si="13"/>
        <v>1.100505003</v>
      </c>
    </row>
    <row r="214" ht="15.75" customHeight="1">
      <c r="A214" s="2">
        <v>44869.0</v>
      </c>
      <c r="B214" s="1">
        <v>113.0</v>
      </c>
      <c r="C214" s="1">
        <v>113.5</v>
      </c>
      <c r="D214" s="1">
        <v>110.800003</v>
      </c>
      <c r="E214" s="1">
        <v>112.309998</v>
      </c>
      <c r="F214" s="1">
        <v>111.413094</v>
      </c>
      <c r="G214" s="1">
        <v>1.75415E7</v>
      </c>
      <c r="H214" s="1">
        <f t="shared" si="13"/>
        <v>0.02590504046</v>
      </c>
    </row>
    <row r="215" ht="15.75" customHeight="1">
      <c r="A215" s="2">
        <v>44872.0</v>
      </c>
      <c r="B215" s="1">
        <v>112.410004</v>
      </c>
      <c r="C215" s="1">
        <v>113.989998</v>
      </c>
      <c r="D215" s="1">
        <v>112.129997</v>
      </c>
      <c r="E215" s="1">
        <v>113.639999</v>
      </c>
      <c r="F215" s="1">
        <v>112.732475</v>
      </c>
      <c r="G215" s="1">
        <v>1.6008E7</v>
      </c>
      <c r="H215" s="1">
        <f t="shared" si="13"/>
        <v>2.222936162</v>
      </c>
    </row>
    <row r="216" ht="15.75" customHeight="1">
      <c r="A216" s="2">
        <v>44873.0</v>
      </c>
      <c r="B216" s="1">
        <v>113.480003</v>
      </c>
      <c r="C216" s="1">
        <v>114.660004</v>
      </c>
      <c r="D216" s="1">
        <v>112.599998</v>
      </c>
      <c r="E216" s="1">
        <v>114.0</v>
      </c>
      <c r="F216" s="1">
        <v>113.0896</v>
      </c>
      <c r="G216" s="1">
        <v>1.4661E7</v>
      </c>
      <c r="H216" s="1">
        <f t="shared" si="13"/>
        <v>3.426024893</v>
      </c>
    </row>
    <row r="217" ht="15.75" customHeight="1">
      <c r="A217" s="2">
        <v>44874.0</v>
      </c>
      <c r="B217" s="1">
        <v>113.099998</v>
      </c>
      <c r="C217" s="1">
        <v>113.279999</v>
      </c>
      <c r="D217" s="1">
        <v>108.57</v>
      </c>
      <c r="E217" s="1">
        <v>108.900002</v>
      </c>
      <c r="F217" s="1">
        <v>108.030334</v>
      </c>
      <c r="G217" s="1">
        <v>1.95228E7</v>
      </c>
      <c r="H217" s="1">
        <f t="shared" si="13"/>
        <v>10.55629713</v>
      </c>
    </row>
    <row r="218" ht="15.75" customHeight="1">
      <c r="A218" s="2">
        <v>44875.0</v>
      </c>
      <c r="B218" s="1">
        <v>110.190002</v>
      </c>
      <c r="C218" s="1">
        <v>110.699997</v>
      </c>
      <c r="D218" s="1">
        <v>107.57</v>
      </c>
      <c r="E218" s="1">
        <v>110.5</v>
      </c>
      <c r="F218" s="1">
        <v>109.617554</v>
      </c>
      <c r="G218" s="1">
        <v>2.01467E7</v>
      </c>
      <c r="H218" s="1">
        <f t="shared" si="13"/>
        <v>2.719357893</v>
      </c>
    </row>
    <row r="219" ht="15.75" customHeight="1">
      <c r="A219" s="2">
        <v>44876.0</v>
      </c>
      <c r="B219" s="1">
        <v>112.580002</v>
      </c>
      <c r="C219" s="1">
        <v>114.5</v>
      </c>
      <c r="D219" s="1">
        <v>112.489998</v>
      </c>
      <c r="E219" s="1">
        <v>113.949997</v>
      </c>
      <c r="F219" s="1">
        <v>113.040001</v>
      </c>
      <c r="G219" s="1">
        <v>2.05189E7</v>
      </c>
      <c r="H219" s="1">
        <f t="shared" si="13"/>
        <v>3.243418844</v>
      </c>
    </row>
    <row r="220" ht="15.75" customHeight="1">
      <c r="A220" s="2">
        <v>44879.0</v>
      </c>
      <c r="B220" s="1">
        <v>112.629997</v>
      </c>
      <c r="C220" s="1">
        <v>114.639999</v>
      </c>
      <c r="D220" s="1">
        <v>112.489998</v>
      </c>
      <c r="E220" s="1">
        <v>113.370003</v>
      </c>
      <c r="F220" s="1">
        <v>113.370003</v>
      </c>
      <c r="G220" s="1">
        <v>2.08583E7</v>
      </c>
      <c r="H220" s="1">
        <f t="shared" si="13"/>
        <v>1.490732159</v>
      </c>
    </row>
    <row r="221" ht="15.75" customHeight="1">
      <c r="A221" s="2">
        <v>44880.0</v>
      </c>
      <c r="B221" s="1">
        <v>113.800003</v>
      </c>
      <c r="C221" s="1">
        <v>114.529999</v>
      </c>
      <c r="D221" s="1">
        <v>112.870003</v>
      </c>
      <c r="E221" s="1">
        <v>114.129997</v>
      </c>
      <c r="F221" s="1">
        <v>114.129997</v>
      </c>
      <c r="G221" s="1">
        <v>1.93738E7</v>
      </c>
      <c r="H221" s="1">
        <f t="shared" si="13"/>
        <v>3.924160639</v>
      </c>
    </row>
    <row r="222" ht="15.75" customHeight="1">
      <c r="A222" s="2">
        <v>44881.0</v>
      </c>
      <c r="B222" s="1">
        <v>113.440002</v>
      </c>
      <c r="C222" s="1">
        <v>114.260002</v>
      </c>
      <c r="D222" s="1">
        <v>111.860001</v>
      </c>
      <c r="E222" s="1">
        <v>112.910004</v>
      </c>
      <c r="F222" s="1">
        <v>112.910004</v>
      </c>
      <c r="G222" s="1">
        <v>1.3591E7</v>
      </c>
      <c r="H222" s="1">
        <f t="shared" si="13"/>
        <v>0.5790546862</v>
      </c>
    </row>
    <row r="223" ht="15.75" customHeight="1">
      <c r="A223" s="2">
        <v>44882.0</v>
      </c>
      <c r="B223" s="1">
        <v>111.290001</v>
      </c>
      <c r="C223" s="1">
        <v>113.199997</v>
      </c>
      <c r="D223" s="1">
        <v>110.75</v>
      </c>
      <c r="E223" s="1">
        <v>113.059998</v>
      </c>
      <c r="F223" s="1">
        <v>113.059998</v>
      </c>
      <c r="G223" s="1">
        <v>1.24259E7</v>
      </c>
      <c r="H223" s="1">
        <f t="shared" si="13"/>
        <v>0.8298306833</v>
      </c>
    </row>
    <row r="224" ht="15.75" customHeight="1">
      <c r="A224" s="2">
        <v>44883.0</v>
      </c>
      <c r="B224" s="1">
        <v>110.900002</v>
      </c>
      <c r="C224" s="1">
        <v>112.480003</v>
      </c>
      <c r="D224" s="1">
        <v>109.610001</v>
      </c>
      <c r="E224" s="1">
        <v>112.080002</v>
      </c>
      <c r="F224" s="1">
        <v>112.080002</v>
      </c>
      <c r="G224" s="1">
        <v>1.5415E7</v>
      </c>
      <c r="H224" s="1">
        <f t="shared" si="13"/>
        <v>0.004767290934</v>
      </c>
    </row>
    <row r="225" ht="15.75" customHeight="1">
      <c r="A225" s="2">
        <v>44886.0</v>
      </c>
      <c r="B225" s="1">
        <v>109.989998</v>
      </c>
      <c r="C225" s="1">
        <v>111.199997</v>
      </c>
      <c r="D225" s="1">
        <v>107.480003</v>
      </c>
      <c r="E225" s="1">
        <v>110.970001</v>
      </c>
      <c r="F225" s="1">
        <v>110.970001</v>
      </c>
      <c r="G225" s="1">
        <v>2.0973E7</v>
      </c>
      <c r="H225" s="1">
        <f t="shared" si="13"/>
        <v>1.390150818</v>
      </c>
    </row>
    <row r="226" ht="15.75" customHeight="1">
      <c r="A226" s="2">
        <v>44887.0</v>
      </c>
      <c r="B226" s="1">
        <v>112.209999</v>
      </c>
      <c r="C226" s="1">
        <v>114.470001</v>
      </c>
      <c r="D226" s="1">
        <v>111.43</v>
      </c>
      <c r="E226" s="1">
        <v>114.18</v>
      </c>
      <c r="F226" s="1">
        <v>114.18</v>
      </c>
      <c r="G226" s="1">
        <v>1.77191E7</v>
      </c>
      <c r="H226" s="1">
        <f t="shared" si="13"/>
        <v>4.124767767</v>
      </c>
    </row>
    <row r="227" ht="15.75" customHeight="1">
      <c r="A227" s="2">
        <v>44888.0</v>
      </c>
      <c r="B227" s="1">
        <v>112.32</v>
      </c>
      <c r="C227" s="1">
        <v>113.949997</v>
      </c>
      <c r="D227" s="1">
        <v>112.099998</v>
      </c>
      <c r="E227" s="1">
        <v>113.610001</v>
      </c>
      <c r="F227" s="1">
        <v>113.610001</v>
      </c>
      <c r="G227" s="1">
        <v>1.15467E7</v>
      </c>
      <c r="H227" s="1">
        <f t="shared" si="13"/>
        <v>2.13438492</v>
      </c>
    </row>
    <row r="228" ht="15.75" customHeight="1">
      <c r="A228" s="2">
        <v>44890.0</v>
      </c>
      <c r="B228" s="1">
        <v>113.879997</v>
      </c>
      <c r="C228" s="1">
        <v>114.610001</v>
      </c>
      <c r="D228" s="1">
        <v>113.059998</v>
      </c>
      <c r="E228" s="1">
        <v>113.209999</v>
      </c>
      <c r="F228" s="1">
        <v>113.209999</v>
      </c>
      <c r="G228" s="1">
        <v>7136000.0</v>
      </c>
      <c r="H228" s="1">
        <f t="shared" si="13"/>
        <v>1.125617934</v>
      </c>
    </row>
    <row r="229" ht="15.75" customHeight="1">
      <c r="A229" s="2">
        <v>44893.0</v>
      </c>
      <c r="B229" s="1">
        <v>110.660004</v>
      </c>
      <c r="C229" s="1">
        <v>111.459999</v>
      </c>
      <c r="D229" s="1">
        <v>109.620003</v>
      </c>
      <c r="E229" s="1">
        <v>109.809998</v>
      </c>
      <c r="F229" s="1">
        <v>109.809998</v>
      </c>
      <c r="G229" s="1">
        <v>2.30155E7</v>
      </c>
      <c r="H229" s="1">
        <f t="shared" si="13"/>
        <v>5.471152898</v>
      </c>
    </row>
    <row r="230" ht="15.75" customHeight="1">
      <c r="A230" s="2">
        <v>44894.0</v>
      </c>
      <c r="B230" s="1">
        <v>110.610001</v>
      </c>
      <c r="C230" s="1">
        <v>111.800003</v>
      </c>
      <c r="D230" s="1">
        <v>109.790001</v>
      </c>
      <c r="E230" s="1">
        <v>110.540001</v>
      </c>
      <c r="F230" s="1">
        <v>110.540001</v>
      </c>
      <c r="G230" s="1">
        <v>1.44532E7</v>
      </c>
      <c r="H230" s="1">
        <f t="shared" si="13"/>
        <v>2.589030869</v>
      </c>
    </row>
    <row r="231" ht="15.75" customHeight="1">
      <c r="A231" s="2">
        <v>44895.0</v>
      </c>
      <c r="B231" s="1">
        <v>111.540001</v>
      </c>
      <c r="C231" s="1">
        <v>111.900002</v>
      </c>
      <c r="D231" s="1">
        <v>109.779999</v>
      </c>
      <c r="E231" s="1">
        <v>111.339996</v>
      </c>
      <c r="F231" s="1">
        <v>111.339996</v>
      </c>
      <c r="G231" s="1">
        <v>2.31581E7</v>
      </c>
      <c r="H231" s="1">
        <f t="shared" si="13"/>
        <v>0.6545644452</v>
      </c>
      <c r="I231" s="1">
        <f>COUNT(A211:A231)</f>
        <v>21</v>
      </c>
    </row>
    <row r="232" ht="15.75" customHeight="1">
      <c r="A232" s="2">
        <v>44896.0</v>
      </c>
      <c r="B232" s="1">
        <v>111.639999</v>
      </c>
      <c r="C232" s="1">
        <v>112.07</v>
      </c>
      <c r="D232" s="1">
        <v>110.18</v>
      </c>
      <c r="E232" s="1">
        <v>110.800003</v>
      </c>
      <c r="F232" s="1">
        <v>110.800003</v>
      </c>
      <c r="G232" s="1">
        <v>1.43983E7</v>
      </c>
      <c r="H232" s="1">
        <f t="shared" ref="H232:H252" si="14">(E232-$P$15)^2</f>
        <v>14.99167414</v>
      </c>
    </row>
    <row r="233" ht="15.75" customHeight="1">
      <c r="A233" s="2">
        <v>44897.0</v>
      </c>
      <c r="B233" s="1">
        <v>109.510002</v>
      </c>
      <c r="C233" s="1">
        <v>111.709999</v>
      </c>
      <c r="D233" s="1">
        <v>109.199997</v>
      </c>
      <c r="E233" s="1">
        <v>109.860001</v>
      </c>
      <c r="F233" s="1">
        <v>109.860001</v>
      </c>
      <c r="G233" s="1">
        <v>1.52484E7</v>
      </c>
      <c r="H233" s="1">
        <f t="shared" si="14"/>
        <v>8.596074747</v>
      </c>
    </row>
    <row r="234" ht="15.75" customHeight="1">
      <c r="A234" s="2">
        <v>44900.0</v>
      </c>
      <c r="B234" s="1">
        <v>110.699997</v>
      </c>
      <c r="C234" s="1">
        <v>111.360001</v>
      </c>
      <c r="D234" s="1">
        <v>105.940002</v>
      </c>
      <c r="E234" s="1">
        <v>106.849998</v>
      </c>
      <c r="F234" s="1">
        <v>106.849998</v>
      </c>
      <c r="G234" s="1">
        <v>1.92877E7</v>
      </c>
      <c r="H234" s="1">
        <f t="shared" si="14"/>
        <v>0.006099089344</v>
      </c>
    </row>
    <row r="235" ht="15.75" customHeight="1">
      <c r="A235" s="2">
        <v>44901.0</v>
      </c>
      <c r="B235" s="1">
        <v>105.900002</v>
      </c>
      <c r="C235" s="1">
        <v>107.040001</v>
      </c>
      <c r="D235" s="1">
        <v>103.150002</v>
      </c>
      <c r="E235" s="1">
        <v>103.879997</v>
      </c>
      <c r="F235" s="1">
        <v>103.879997</v>
      </c>
      <c r="G235" s="1">
        <v>2.1197E7</v>
      </c>
      <c r="H235" s="1">
        <f t="shared" si="14"/>
        <v>9.290899386</v>
      </c>
    </row>
    <row r="236" ht="15.75" customHeight="1">
      <c r="A236" s="2">
        <v>44902.0</v>
      </c>
      <c r="B236" s="1">
        <v>103.779999</v>
      </c>
      <c r="C236" s="1">
        <v>104.849998</v>
      </c>
      <c r="D236" s="1">
        <v>102.370003</v>
      </c>
      <c r="E236" s="1">
        <v>103.650002</v>
      </c>
      <c r="F236" s="1">
        <v>103.650002</v>
      </c>
      <c r="G236" s="1">
        <v>2.00617E7</v>
      </c>
      <c r="H236" s="1">
        <f t="shared" si="14"/>
        <v>10.74589153</v>
      </c>
    </row>
    <row r="237" ht="15.75" customHeight="1">
      <c r="A237" s="2">
        <v>44903.0</v>
      </c>
      <c r="B237" s="1">
        <v>106.279999</v>
      </c>
      <c r="C237" s="1">
        <v>106.800003</v>
      </c>
      <c r="D237" s="1">
        <v>103.709999</v>
      </c>
      <c r="E237" s="1">
        <v>104.419998</v>
      </c>
      <c r="F237" s="1">
        <v>104.419998</v>
      </c>
      <c r="G237" s="1">
        <v>2.11288E7</v>
      </c>
      <c r="H237" s="1">
        <f t="shared" si="14"/>
        <v>6.290548889</v>
      </c>
    </row>
    <row r="238" ht="15.75" customHeight="1">
      <c r="A238" s="2">
        <v>44904.0</v>
      </c>
      <c r="B238" s="1">
        <v>104.589996</v>
      </c>
      <c r="C238" s="1">
        <v>105.949997</v>
      </c>
      <c r="D238" s="1">
        <v>103.300003</v>
      </c>
      <c r="E238" s="1">
        <v>103.540001</v>
      </c>
      <c r="F238" s="1">
        <v>103.540001</v>
      </c>
      <c r="G238" s="1">
        <v>2.12982E7</v>
      </c>
      <c r="H238" s="1">
        <f t="shared" si="14"/>
        <v>11.47917869</v>
      </c>
    </row>
    <row r="239" ht="15.75" customHeight="1">
      <c r="A239" s="2">
        <v>44907.0</v>
      </c>
      <c r="B239" s="1">
        <v>103.830002</v>
      </c>
      <c r="C239" s="1">
        <v>106.239998</v>
      </c>
      <c r="D239" s="1">
        <v>103.589996</v>
      </c>
      <c r="E239" s="1">
        <v>106.089996</v>
      </c>
      <c r="F239" s="1">
        <v>106.089996</v>
      </c>
      <c r="G239" s="1">
        <v>2.04132E7</v>
      </c>
      <c r="H239" s="1">
        <f t="shared" si="14"/>
        <v>0.7024093751</v>
      </c>
    </row>
    <row r="240" ht="15.75" customHeight="1">
      <c r="A240" s="2">
        <v>44908.0</v>
      </c>
      <c r="B240" s="1">
        <v>107.800003</v>
      </c>
      <c r="C240" s="1">
        <v>108.540001</v>
      </c>
      <c r="D240" s="1">
        <v>107.019997</v>
      </c>
      <c r="E240" s="1">
        <v>107.25</v>
      </c>
      <c r="F240" s="1">
        <v>107.25</v>
      </c>
      <c r="G240" s="1">
        <v>2.43053E7</v>
      </c>
      <c r="H240" s="1">
        <f t="shared" si="14"/>
        <v>0.1036230436</v>
      </c>
    </row>
    <row r="241" ht="15.75" customHeight="1">
      <c r="A241" s="2">
        <v>44909.0</v>
      </c>
      <c r="B241" s="1">
        <v>107.989998</v>
      </c>
      <c r="C241" s="1">
        <v>108.300003</v>
      </c>
      <c r="D241" s="1">
        <v>105.75</v>
      </c>
      <c r="E241" s="1">
        <v>106.459999</v>
      </c>
      <c r="F241" s="1">
        <v>106.459999</v>
      </c>
      <c r="G241" s="1">
        <v>1.75973E7</v>
      </c>
      <c r="H241" s="1">
        <f t="shared" si="14"/>
        <v>0.2191135532</v>
      </c>
    </row>
    <row r="242" ht="15.75" customHeight="1">
      <c r="A242" s="2">
        <v>44910.0</v>
      </c>
      <c r="B242" s="1">
        <v>105.330002</v>
      </c>
      <c r="C242" s="1">
        <v>106.169998</v>
      </c>
      <c r="D242" s="1">
        <v>103.699997</v>
      </c>
      <c r="E242" s="1">
        <v>105.440002</v>
      </c>
      <c r="F242" s="1">
        <v>105.440002</v>
      </c>
      <c r="G242" s="1">
        <v>1.53651E7</v>
      </c>
      <c r="H242" s="1">
        <f t="shared" si="14"/>
        <v>2.214419785</v>
      </c>
    </row>
    <row r="243" ht="15.75" customHeight="1">
      <c r="A243" s="2">
        <v>44911.0</v>
      </c>
      <c r="B243" s="1">
        <v>103.690002</v>
      </c>
      <c r="C243" s="1">
        <v>105.580002</v>
      </c>
      <c r="D243" s="1">
        <v>103.129997</v>
      </c>
      <c r="E243" s="1">
        <v>104.699997</v>
      </c>
      <c r="F243" s="1">
        <v>104.699997</v>
      </c>
      <c r="G243" s="1">
        <v>5.45966E7</v>
      </c>
      <c r="H243" s="1">
        <f t="shared" si="14"/>
        <v>4.964419212</v>
      </c>
    </row>
    <row r="244" ht="15.75" customHeight="1">
      <c r="A244" s="2">
        <v>44914.0</v>
      </c>
      <c r="B244" s="1">
        <v>105.260002</v>
      </c>
      <c r="C244" s="1">
        <v>106.199997</v>
      </c>
      <c r="D244" s="1">
        <v>104.379997</v>
      </c>
      <c r="E244" s="1">
        <v>105.169998</v>
      </c>
      <c r="F244" s="1">
        <v>105.169998</v>
      </c>
      <c r="G244" s="1">
        <v>1.36111E7</v>
      </c>
      <c r="H244" s="1">
        <f t="shared" si="14"/>
        <v>3.090903889</v>
      </c>
    </row>
    <row r="245" ht="15.75" customHeight="1">
      <c r="A245" s="2">
        <v>44915.0</v>
      </c>
      <c r="B245" s="1">
        <v>105.169998</v>
      </c>
      <c r="C245" s="1">
        <v>107.510002</v>
      </c>
      <c r="D245" s="1">
        <v>105.07</v>
      </c>
      <c r="E245" s="1">
        <v>106.690002</v>
      </c>
      <c r="F245" s="1">
        <v>106.690002</v>
      </c>
      <c r="G245" s="1">
        <v>1.468E7</v>
      </c>
      <c r="H245" s="1">
        <f t="shared" si="14"/>
        <v>0.05668811792</v>
      </c>
    </row>
    <row r="246" ht="15.75" customHeight="1">
      <c r="A246" s="2">
        <v>44916.0</v>
      </c>
      <c r="B246" s="1">
        <v>108.290001</v>
      </c>
      <c r="C246" s="1">
        <v>108.589996</v>
      </c>
      <c r="D246" s="1">
        <v>107.160004</v>
      </c>
      <c r="E246" s="1">
        <v>108.059998</v>
      </c>
      <c r="F246" s="1">
        <v>108.059998</v>
      </c>
      <c r="G246" s="1">
        <v>1.35654E7</v>
      </c>
      <c r="H246" s="1">
        <f t="shared" si="14"/>
        <v>1.281205156</v>
      </c>
    </row>
    <row r="247" ht="15.75" customHeight="1">
      <c r="A247" s="2">
        <v>44917.0</v>
      </c>
      <c r="B247" s="1">
        <v>107.889999</v>
      </c>
      <c r="C247" s="1">
        <v>108.190002</v>
      </c>
      <c r="D247" s="1">
        <v>104.099998</v>
      </c>
      <c r="E247" s="1">
        <v>105.879997</v>
      </c>
      <c r="F247" s="1">
        <v>105.879997</v>
      </c>
      <c r="G247" s="1">
        <v>1.3213E7</v>
      </c>
      <c r="H247" s="1">
        <f t="shared" si="14"/>
        <v>1.098508719</v>
      </c>
    </row>
    <row r="248" ht="15.75" customHeight="1">
      <c r="A248" s="2">
        <v>44918.0</v>
      </c>
      <c r="B248" s="1">
        <v>106.949997</v>
      </c>
      <c r="C248" s="1">
        <v>108.739998</v>
      </c>
      <c r="D248" s="1">
        <v>106.900002</v>
      </c>
      <c r="E248" s="1">
        <v>108.68</v>
      </c>
      <c r="F248" s="1">
        <v>108.68</v>
      </c>
      <c r="G248" s="1">
        <v>1.15394E7</v>
      </c>
      <c r="H248" s="1">
        <f t="shared" si="14"/>
        <v>3.069172297</v>
      </c>
    </row>
    <row r="249" ht="15.75" customHeight="1">
      <c r="A249" s="2">
        <v>44922.0</v>
      </c>
      <c r="B249" s="1">
        <v>109.269997</v>
      </c>
      <c r="C249" s="1">
        <v>110.470001</v>
      </c>
      <c r="D249" s="1">
        <v>108.830002</v>
      </c>
      <c r="E249" s="1">
        <v>110.190002</v>
      </c>
      <c r="F249" s="1">
        <v>110.190002</v>
      </c>
      <c r="G249" s="1">
        <v>1.19621E7</v>
      </c>
      <c r="H249" s="1">
        <f t="shared" si="14"/>
        <v>10.64003945</v>
      </c>
    </row>
    <row r="250" ht="15.75" customHeight="1">
      <c r="A250" s="2">
        <v>44923.0</v>
      </c>
      <c r="B250" s="1">
        <v>109.910004</v>
      </c>
      <c r="C250" s="1">
        <v>110.0</v>
      </c>
      <c r="D250" s="1">
        <v>107.900002</v>
      </c>
      <c r="E250" s="1">
        <v>108.379997</v>
      </c>
      <c r="F250" s="1">
        <v>108.379997</v>
      </c>
      <c r="G250" s="1">
        <v>1.07021E7</v>
      </c>
      <c r="H250" s="1">
        <f t="shared" si="14"/>
        <v>2.108020386</v>
      </c>
    </row>
    <row r="251" ht="15.75" customHeight="1">
      <c r="A251" s="2">
        <v>44924.0</v>
      </c>
      <c r="B251" s="1">
        <v>107.989998</v>
      </c>
      <c r="C251" s="1">
        <v>109.720001</v>
      </c>
      <c r="D251" s="1">
        <v>107.989998</v>
      </c>
      <c r="E251" s="1">
        <v>109.199997</v>
      </c>
      <c r="F251" s="1">
        <v>109.199997</v>
      </c>
      <c r="G251" s="1">
        <v>1.0534E7</v>
      </c>
      <c r="H251" s="1">
        <f t="shared" si="14"/>
        <v>5.161540212</v>
      </c>
    </row>
    <row r="252" ht="15.75" customHeight="1">
      <c r="A252" s="2">
        <v>44925.0</v>
      </c>
      <c r="B252" s="1">
        <v>108.610001</v>
      </c>
      <c r="C252" s="1">
        <v>110.5</v>
      </c>
      <c r="D252" s="1">
        <v>108.610001</v>
      </c>
      <c r="E252" s="1">
        <v>110.300003</v>
      </c>
      <c r="F252" s="1">
        <v>110.300003</v>
      </c>
      <c r="G252" s="1">
        <v>1.17933E7</v>
      </c>
      <c r="H252" s="1">
        <f t="shared" si="14"/>
        <v>11.36976581</v>
      </c>
      <c r="I252" s="1">
        <f>COUNT(A232:A252)</f>
        <v>21</v>
      </c>
    </row>
    <row r="253" ht="15.75" customHeight="1"/>
    <row r="254" ht="15.75" customHeight="1">
      <c r="H254" s="1" t="s">
        <v>36</v>
      </c>
      <c r="J254" s="1">
        <f>AVERAGE(I1:I253)</f>
        <v>20.92857143</v>
      </c>
    </row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9" max="9" width="15.25"/>
  </cols>
  <sheetData>
    <row r="1" ht="15.75" customHeight="1"/>
    <row r="2" ht="15.75" customHeight="1"/>
    <row r="3" ht="15.75" customHeight="1">
      <c r="B3" s="4" t="s">
        <v>37</v>
      </c>
      <c r="C3" s="5" t="s">
        <v>38</v>
      </c>
      <c r="D3" s="5" t="s">
        <v>39</v>
      </c>
      <c r="E3" s="5" t="s">
        <v>40</v>
      </c>
      <c r="F3" s="5" t="s">
        <v>41</v>
      </c>
      <c r="G3" s="5" t="s">
        <v>42</v>
      </c>
      <c r="H3" s="6" t="s">
        <v>43</v>
      </c>
      <c r="I3" s="7" t="s">
        <v>44</v>
      </c>
      <c r="K3" s="8" t="s">
        <v>45</v>
      </c>
      <c r="L3" s="8" t="s">
        <v>46</v>
      </c>
    </row>
    <row r="4" ht="15.75" customHeight="1">
      <c r="B4" s="9">
        <v>1.0</v>
      </c>
      <c r="C4" s="1">
        <v>63.540001</v>
      </c>
      <c r="D4" s="1" t="s">
        <v>47</v>
      </c>
      <c r="E4" s="1">
        <f>C4</f>
        <v>63.540001</v>
      </c>
      <c r="F4" s="1">
        <v>0.0</v>
      </c>
      <c r="H4" s="10"/>
      <c r="I4" s="11">
        <f t="array" ref="I4">AVERAGE(ABS(G4:G254))</f>
        <v>1.565223277</v>
      </c>
      <c r="K4" s="8">
        <v>0.9884459386958458</v>
      </c>
      <c r="L4" s="8">
        <v>0.010715105772652897</v>
      </c>
    </row>
    <row r="5" ht="15.75" customHeight="1">
      <c r="B5" s="9">
        <v>2.0</v>
      </c>
      <c r="C5" s="1">
        <v>65.93</v>
      </c>
      <c r="D5" s="1">
        <f t="shared" ref="D5:D255" si="1">E4+F4</f>
        <v>63.540001</v>
      </c>
      <c r="E5" s="1">
        <f t="shared" ref="E5:E254" si="2">$K$4*C5+(1-$K$4)*D5</f>
        <v>65.90238581</v>
      </c>
      <c r="F5" s="1">
        <f t="shared" ref="F5:F254" si="3">$L$4*(E5-E4)+(1-$L$4)*F4</f>
        <v>0.02531320306</v>
      </c>
      <c r="G5" s="12">
        <f t="shared" ref="G5:G264" si="4">D5-C5</f>
        <v>-2.389999</v>
      </c>
      <c r="H5" s="10"/>
      <c r="I5" s="13"/>
    </row>
    <row r="6" ht="15.75" customHeight="1">
      <c r="B6" s="9">
        <v>3.0</v>
      </c>
      <c r="C6" s="1">
        <v>66.75</v>
      </c>
      <c r="D6" s="1">
        <f t="shared" si="1"/>
        <v>65.92769901</v>
      </c>
      <c r="E6" s="1">
        <f t="shared" si="2"/>
        <v>66.74049908</v>
      </c>
      <c r="F6" s="1">
        <f t="shared" si="3"/>
        <v>0.03402244185</v>
      </c>
      <c r="G6" s="12">
        <f t="shared" si="4"/>
        <v>-0.8223009919</v>
      </c>
      <c r="H6" s="10"/>
      <c r="I6" s="7" t="s">
        <v>48</v>
      </c>
    </row>
    <row r="7" ht="15.75" customHeight="1">
      <c r="B7" s="9">
        <v>4.0</v>
      </c>
      <c r="C7" s="1">
        <v>68.32</v>
      </c>
      <c r="D7" s="1">
        <f t="shared" si="1"/>
        <v>66.77452153</v>
      </c>
      <c r="E7" s="1">
        <f t="shared" si="2"/>
        <v>68.30214345</v>
      </c>
      <c r="F7" s="1">
        <f t="shared" si="3"/>
        <v>0.05039107231</v>
      </c>
      <c r="G7" s="12">
        <f t="shared" si="4"/>
        <v>-1.545478474</v>
      </c>
      <c r="H7" s="10"/>
      <c r="I7" s="11">
        <f>AVERAGE(H255:H264)</f>
        <v>1.769721776</v>
      </c>
    </row>
    <row r="8" ht="15.75" customHeight="1">
      <c r="B8" s="9">
        <v>5.0</v>
      </c>
      <c r="C8" s="1">
        <v>68.879997</v>
      </c>
      <c r="D8" s="1">
        <f t="shared" si="1"/>
        <v>68.35253452</v>
      </c>
      <c r="E8" s="1">
        <f t="shared" si="2"/>
        <v>68.87390267</v>
      </c>
      <c r="F8" s="1">
        <f t="shared" si="3"/>
        <v>0.05597758715</v>
      </c>
      <c r="G8" s="12">
        <f t="shared" si="4"/>
        <v>-0.5274624807</v>
      </c>
      <c r="H8" s="10"/>
    </row>
    <row r="9" ht="15.75" customHeight="1">
      <c r="B9" s="9">
        <v>6.0</v>
      </c>
      <c r="C9" s="1">
        <v>68.470001</v>
      </c>
      <c r="D9" s="1">
        <f t="shared" si="1"/>
        <v>68.92988025</v>
      </c>
      <c r="E9" s="1">
        <f t="shared" si="2"/>
        <v>68.47531447</v>
      </c>
      <c r="F9" s="1">
        <f t="shared" si="3"/>
        <v>0.05110686674</v>
      </c>
      <c r="G9" s="12">
        <f t="shared" si="4"/>
        <v>0.4598792533</v>
      </c>
      <c r="H9" s="10"/>
      <c r="I9" s="1"/>
    </row>
    <row r="10" ht="15.75" customHeight="1">
      <c r="B10" s="9">
        <v>7.0</v>
      </c>
      <c r="C10" s="1">
        <v>71.349998</v>
      </c>
      <c r="D10" s="1">
        <f t="shared" si="1"/>
        <v>68.52642134</v>
      </c>
      <c r="E10" s="1">
        <f t="shared" si="2"/>
        <v>71.31737422</v>
      </c>
      <c r="F10" s="1">
        <f t="shared" si="3"/>
        <v>0.08101222208</v>
      </c>
      <c r="G10" s="12">
        <f t="shared" si="4"/>
        <v>-2.82357666</v>
      </c>
      <c r="H10" s="10"/>
      <c r="I10" s="1"/>
    </row>
    <row r="11" ht="15.75" customHeight="1">
      <c r="B11" s="9">
        <v>8.0</v>
      </c>
      <c r="C11" s="1">
        <v>71.139999</v>
      </c>
      <c r="D11" s="1">
        <f t="shared" si="1"/>
        <v>71.39838644</v>
      </c>
      <c r="E11" s="1">
        <f t="shared" si="2"/>
        <v>71.14298442</v>
      </c>
      <c r="F11" s="1">
        <f t="shared" si="3"/>
        <v>0.07827556242</v>
      </c>
      <c r="G11" s="12">
        <f t="shared" si="4"/>
        <v>0.2583874442</v>
      </c>
      <c r="H11" s="10"/>
    </row>
    <row r="12" ht="15.75" customHeight="1">
      <c r="B12" s="9">
        <v>9.0</v>
      </c>
      <c r="C12" s="1">
        <v>70.629997</v>
      </c>
      <c r="D12" s="1">
        <f t="shared" si="1"/>
        <v>71.22125999</v>
      </c>
      <c r="E12" s="1">
        <f t="shared" si="2"/>
        <v>70.63682849</v>
      </c>
      <c r="F12" s="1">
        <f t="shared" si="3"/>
        <v>0.0720133171</v>
      </c>
      <c r="G12" s="12">
        <f t="shared" si="4"/>
        <v>0.5912629868</v>
      </c>
      <c r="H12" s="10"/>
    </row>
    <row r="13" ht="15.75" customHeight="1">
      <c r="B13" s="9">
        <v>10.0</v>
      </c>
      <c r="C13" s="1">
        <v>71.870003</v>
      </c>
      <c r="D13" s="1">
        <f t="shared" si="1"/>
        <v>70.70884181</v>
      </c>
      <c r="E13" s="1">
        <f t="shared" si="2"/>
        <v>71.85658687</v>
      </c>
      <c r="F13" s="1">
        <f t="shared" si="3"/>
        <v>0.08431152689</v>
      </c>
      <c r="G13" s="12">
        <f t="shared" si="4"/>
        <v>-1.161161194</v>
      </c>
      <c r="H13" s="10"/>
    </row>
    <row r="14" ht="15.75" customHeight="1">
      <c r="B14" s="9">
        <v>11.0</v>
      </c>
      <c r="C14" s="1">
        <v>73.080002</v>
      </c>
      <c r="D14" s="1">
        <f t="shared" si="1"/>
        <v>71.9408984</v>
      </c>
      <c r="E14" s="1">
        <f t="shared" si="2"/>
        <v>73.06684073</v>
      </c>
      <c r="F14" s="1">
        <f t="shared" si="3"/>
        <v>0.09637611803</v>
      </c>
      <c r="G14" s="12">
        <f t="shared" si="4"/>
        <v>-1.139103601</v>
      </c>
      <c r="H14" s="10"/>
    </row>
    <row r="15" ht="15.75" customHeight="1">
      <c r="B15" s="9">
        <v>12.0</v>
      </c>
      <c r="C15" s="1">
        <v>73.110001</v>
      </c>
      <c r="D15" s="1">
        <f t="shared" si="1"/>
        <v>73.16321685</v>
      </c>
      <c r="E15" s="1">
        <f t="shared" si="2"/>
        <v>73.11061586</v>
      </c>
      <c r="F15" s="1">
        <f t="shared" si="3"/>
        <v>0.0958124929</v>
      </c>
      <c r="G15" s="12">
        <f t="shared" si="4"/>
        <v>0.05321584519</v>
      </c>
      <c r="H15" s="10"/>
    </row>
    <row r="16" ht="15.75" customHeight="1">
      <c r="B16" s="9">
        <v>13.0</v>
      </c>
      <c r="C16" s="1">
        <v>73.269997</v>
      </c>
      <c r="D16" s="1">
        <f t="shared" si="1"/>
        <v>73.20642835</v>
      </c>
      <c r="E16" s="1">
        <f t="shared" si="2"/>
        <v>73.26926252</v>
      </c>
      <c r="F16" s="1">
        <f t="shared" si="3"/>
        <v>0.0964857677</v>
      </c>
      <c r="G16" s="12">
        <f t="shared" si="4"/>
        <v>-0.06356864796</v>
      </c>
      <c r="H16" s="10"/>
    </row>
    <row r="17" ht="15.75" customHeight="1">
      <c r="B17" s="9">
        <v>14.0</v>
      </c>
      <c r="C17" s="1">
        <v>72.169998</v>
      </c>
      <c r="D17" s="1">
        <f t="shared" si="1"/>
        <v>73.36574829</v>
      </c>
      <c r="E17" s="1">
        <f t="shared" si="2"/>
        <v>72.18381377</v>
      </c>
      <c r="F17" s="1">
        <f t="shared" si="3"/>
        <v>0.0838212143</v>
      </c>
      <c r="G17" s="12">
        <f t="shared" si="4"/>
        <v>1.195750292</v>
      </c>
      <c r="H17" s="10"/>
    </row>
    <row r="18" ht="15.75" customHeight="1">
      <c r="B18" s="9">
        <v>15.0</v>
      </c>
      <c r="C18" s="1">
        <v>72.790001</v>
      </c>
      <c r="D18" s="1">
        <f t="shared" si="1"/>
        <v>72.26763499</v>
      </c>
      <c r="E18" s="1">
        <f t="shared" si="2"/>
        <v>72.78396555</v>
      </c>
      <c r="F18" s="1">
        <f t="shared" si="3"/>
        <v>0.08935375092</v>
      </c>
      <c r="G18" s="12">
        <f t="shared" si="4"/>
        <v>-0.5223660135</v>
      </c>
      <c r="H18" s="10"/>
    </row>
    <row r="19" ht="15.75" customHeight="1">
      <c r="B19" s="9">
        <v>16.0</v>
      </c>
      <c r="C19" s="1">
        <v>74.93</v>
      </c>
      <c r="D19" s="1">
        <f t="shared" si="1"/>
        <v>72.8733193</v>
      </c>
      <c r="E19" s="1">
        <f t="shared" si="2"/>
        <v>74.90623699</v>
      </c>
      <c r="F19" s="1">
        <f t="shared" si="3"/>
        <v>0.1111366789</v>
      </c>
      <c r="G19" s="12">
        <f t="shared" si="4"/>
        <v>-2.056680698</v>
      </c>
      <c r="H19" s="10"/>
    </row>
    <row r="20" ht="15.75" customHeight="1">
      <c r="B20" s="9">
        <v>17.0</v>
      </c>
      <c r="C20" s="1">
        <v>74.169998</v>
      </c>
      <c r="D20" s="1">
        <f t="shared" si="1"/>
        <v>75.01737366</v>
      </c>
      <c r="E20" s="1">
        <f t="shared" si="2"/>
        <v>74.17978863</v>
      </c>
      <c r="F20" s="1">
        <f t="shared" si="3"/>
        <v>0.1021618667</v>
      </c>
      <c r="G20" s="12">
        <f t="shared" si="4"/>
        <v>0.8473756641</v>
      </c>
      <c r="H20" s="10"/>
    </row>
    <row r="21" ht="15.75" customHeight="1">
      <c r="B21" s="9">
        <v>18.0</v>
      </c>
      <c r="C21" s="1">
        <v>75.120003</v>
      </c>
      <c r="D21" s="1">
        <f t="shared" si="1"/>
        <v>74.2819505</v>
      </c>
      <c r="E21" s="1">
        <f t="shared" si="2"/>
        <v>75.11032009</v>
      </c>
      <c r="F21" s="1">
        <f t="shared" si="3"/>
        <v>0.1110379345</v>
      </c>
      <c r="G21" s="12">
        <f t="shared" si="4"/>
        <v>-0.8380525029</v>
      </c>
      <c r="H21" s="10"/>
    </row>
    <row r="22" ht="15.75" customHeight="1">
      <c r="B22" s="9">
        <v>19.0</v>
      </c>
      <c r="C22" s="1">
        <v>75.279999</v>
      </c>
      <c r="D22" s="1">
        <f t="shared" si="1"/>
        <v>75.22135802</v>
      </c>
      <c r="E22" s="1">
        <f t="shared" si="2"/>
        <v>75.27932146</v>
      </c>
      <c r="F22" s="1">
        <f t="shared" si="3"/>
        <v>0.1116590188</v>
      </c>
      <c r="G22" s="12">
        <f t="shared" si="4"/>
        <v>-0.0586409755</v>
      </c>
      <c r="H22" s="10"/>
    </row>
    <row r="23" ht="15.75" customHeight="1">
      <c r="B23" s="9">
        <v>20.0</v>
      </c>
      <c r="C23" s="1">
        <v>75.959999</v>
      </c>
      <c r="D23" s="1">
        <f t="shared" si="1"/>
        <v>75.39098048</v>
      </c>
      <c r="E23" s="1">
        <f t="shared" si="2"/>
        <v>75.95342453</v>
      </c>
      <c r="F23" s="1">
        <f t="shared" si="3"/>
        <v>0.1176856663</v>
      </c>
      <c r="G23" s="12">
        <f t="shared" si="4"/>
        <v>-0.5690185226</v>
      </c>
      <c r="H23" s="10"/>
    </row>
    <row r="24" ht="15.75" customHeight="1">
      <c r="B24" s="9">
        <v>21.0</v>
      </c>
      <c r="C24" s="1">
        <v>80.830002</v>
      </c>
      <c r="D24" s="1">
        <f t="shared" si="1"/>
        <v>76.07111019</v>
      </c>
      <c r="E24" s="1">
        <f t="shared" si="2"/>
        <v>80.77501747</v>
      </c>
      <c r="F24" s="1">
        <f t="shared" si="3"/>
        <v>0.1680885303</v>
      </c>
      <c r="G24" s="12">
        <f t="shared" si="4"/>
        <v>-4.758891809</v>
      </c>
      <c r="H24" s="10"/>
    </row>
    <row r="25" ht="15.75" customHeight="1">
      <c r="B25" s="9">
        <v>22.0</v>
      </c>
      <c r="C25" s="1">
        <v>80.620003</v>
      </c>
      <c r="D25" s="1">
        <f t="shared" si="1"/>
        <v>80.943106</v>
      </c>
      <c r="E25" s="1">
        <f t="shared" si="2"/>
        <v>80.62373615</v>
      </c>
      <c r="F25" s="1">
        <f t="shared" si="3"/>
        <v>0.1646664486</v>
      </c>
      <c r="G25" s="12">
        <f t="shared" si="4"/>
        <v>0.3231030026</v>
      </c>
      <c r="H25" s="10"/>
    </row>
    <row r="26" ht="15.75" customHeight="1">
      <c r="B26" s="9">
        <v>23.0</v>
      </c>
      <c r="C26" s="1">
        <v>79.68</v>
      </c>
      <c r="D26" s="1">
        <f t="shared" si="1"/>
        <v>80.7884026</v>
      </c>
      <c r="E26" s="1">
        <f t="shared" si="2"/>
        <v>79.69280655</v>
      </c>
      <c r="F26" s="1">
        <f t="shared" si="3"/>
        <v>0.1529270211</v>
      </c>
      <c r="G26" s="12">
        <f t="shared" si="4"/>
        <v>1.108402601</v>
      </c>
      <c r="H26" s="10"/>
    </row>
    <row r="27" ht="15.75" customHeight="1">
      <c r="B27" s="9">
        <v>24.0</v>
      </c>
      <c r="C27" s="1">
        <v>81.410004</v>
      </c>
      <c r="D27" s="1">
        <f t="shared" si="1"/>
        <v>79.84573357</v>
      </c>
      <c r="E27" s="1">
        <f t="shared" si="2"/>
        <v>81.39193032</v>
      </c>
      <c r="F27" s="1">
        <f t="shared" si="3"/>
        <v>0.1694946828</v>
      </c>
      <c r="G27" s="12">
        <f t="shared" si="4"/>
        <v>-1.564270427</v>
      </c>
      <c r="H27" s="10"/>
    </row>
    <row r="28" ht="15.75" customHeight="1">
      <c r="B28" s="9">
        <v>25.0</v>
      </c>
      <c r="C28" s="1">
        <v>82.389999</v>
      </c>
      <c r="D28" s="1">
        <f t="shared" si="1"/>
        <v>81.56142501</v>
      </c>
      <c r="E28" s="1">
        <f t="shared" si="2"/>
        <v>82.38042561</v>
      </c>
      <c r="F28" s="1">
        <f t="shared" si="3"/>
        <v>0.1782703608</v>
      </c>
      <c r="G28" s="12">
        <f t="shared" si="4"/>
        <v>-0.8285739936</v>
      </c>
      <c r="H28" s="10"/>
    </row>
    <row r="29" ht="15.75" customHeight="1">
      <c r="B29" s="9">
        <v>26.0</v>
      </c>
      <c r="C29" s="1">
        <v>80.260002</v>
      </c>
      <c r="D29" s="1">
        <f t="shared" si="1"/>
        <v>82.55869597</v>
      </c>
      <c r="E29" s="1">
        <f t="shared" si="2"/>
        <v>80.28656125</v>
      </c>
      <c r="F29" s="1">
        <f t="shared" si="3"/>
        <v>0.153924197</v>
      </c>
      <c r="G29" s="12">
        <f t="shared" si="4"/>
        <v>2.298693966</v>
      </c>
      <c r="H29" s="10"/>
    </row>
    <row r="30" ht="15.75" customHeight="1">
      <c r="B30" s="9">
        <v>27.0</v>
      </c>
      <c r="C30" s="1">
        <v>79.0</v>
      </c>
      <c r="D30" s="1">
        <f t="shared" si="1"/>
        <v>80.44048545</v>
      </c>
      <c r="E30" s="1">
        <f t="shared" si="2"/>
        <v>79.01664346</v>
      </c>
      <c r="F30" s="1">
        <f t="shared" si="3"/>
        <v>0.1386675795</v>
      </c>
      <c r="G30" s="12">
        <f t="shared" si="4"/>
        <v>1.440485448</v>
      </c>
      <c r="H30" s="10"/>
    </row>
    <row r="31" ht="15.75" customHeight="1">
      <c r="B31" s="9">
        <v>28.0</v>
      </c>
      <c r="C31" s="1">
        <v>78.239998</v>
      </c>
      <c r="D31" s="1">
        <f t="shared" si="1"/>
        <v>79.15531104</v>
      </c>
      <c r="E31" s="1">
        <f t="shared" si="2"/>
        <v>78.25057358</v>
      </c>
      <c r="F31" s="1">
        <f t="shared" si="3"/>
        <v>0.128973222</v>
      </c>
      <c r="G31" s="12">
        <f t="shared" si="4"/>
        <v>0.9153130367</v>
      </c>
      <c r="H31" s="10"/>
    </row>
    <row r="32" ht="15.75" customHeight="1">
      <c r="B32" s="9">
        <v>29.0</v>
      </c>
      <c r="C32" s="1">
        <v>80.209999</v>
      </c>
      <c r="D32" s="1">
        <f t="shared" si="1"/>
        <v>78.3795468</v>
      </c>
      <c r="E32" s="1">
        <f t="shared" si="2"/>
        <v>80.18884984</v>
      </c>
      <c r="F32" s="1">
        <f t="shared" si="3"/>
        <v>0.1483600954</v>
      </c>
      <c r="G32" s="12">
        <f t="shared" si="4"/>
        <v>-1.830452195</v>
      </c>
      <c r="H32" s="10"/>
    </row>
    <row r="33" ht="15.75" customHeight="1">
      <c r="B33" s="9">
        <v>30.0</v>
      </c>
      <c r="C33" s="1">
        <v>78.980003</v>
      </c>
      <c r="D33" s="1">
        <f t="shared" si="1"/>
        <v>80.33720994</v>
      </c>
      <c r="E33" s="1">
        <f t="shared" si="2"/>
        <v>78.99568425</v>
      </c>
      <c r="F33" s="1">
        <f t="shared" si="3"/>
        <v>0.1339855058</v>
      </c>
      <c r="G33" s="12">
        <f t="shared" si="4"/>
        <v>1.357206939</v>
      </c>
      <c r="H33" s="10"/>
    </row>
    <row r="34" ht="15.75" customHeight="1">
      <c r="B34" s="9">
        <v>31.0</v>
      </c>
      <c r="C34" s="1">
        <v>77.989998</v>
      </c>
      <c r="D34" s="1">
        <f t="shared" si="1"/>
        <v>79.12966976</v>
      </c>
      <c r="E34" s="1">
        <f t="shared" si="2"/>
        <v>78.00316584</v>
      </c>
      <c r="F34" s="1">
        <f t="shared" si="3"/>
        <v>0.1219148971</v>
      </c>
      <c r="G34" s="12">
        <f t="shared" si="4"/>
        <v>1.139671758</v>
      </c>
      <c r="H34" s="10"/>
    </row>
    <row r="35" ht="15.75" customHeight="1">
      <c r="B35" s="9">
        <v>32.0</v>
      </c>
      <c r="C35" s="1">
        <v>78.349998</v>
      </c>
      <c r="D35" s="1">
        <f t="shared" si="1"/>
        <v>78.12508073</v>
      </c>
      <c r="E35" s="1">
        <f t="shared" si="2"/>
        <v>78.34739929</v>
      </c>
      <c r="F35" s="1">
        <f t="shared" si="3"/>
        <v>0.124297064</v>
      </c>
      <c r="G35" s="12">
        <f t="shared" si="4"/>
        <v>-0.2249172655</v>
      </c>
      <c r="H35" s="10"/>
    </row>
    <row r="36" ht="15.75" customHeight="1">
      <c r="B36" s="9">
        <v>33.0</v>
      </c>
      <c r="C36" s="1">
        <v>78.230003</v>
      </c>
      <c r="D36" s="1">
        <f t="shared" si="1"/>
        <v>78.47169636</v>
      </c>
      <c r="E36" s="1">
        <f t="shared" si="2"/>
        <v>78.23279554</v>
      </c>
      <c r="F36" s="1">
        <f t="shared" si="3"/>
        <v>0.1217372165</v>
      </c>
      <c r="G36" s="12">
        <f t="shared" si="4"/>
        <v>0.2416933561</v>
      </c>
      <c r="H36" s="10"/>
    </row>
    <row r="37" ht="15.75" customHeight="1">
      <c r="B37" s="9">
        <v>34.0</v>
      </c>
      <c r="C37" s="1">
        <v>77.360001</v>
      </c>
      <c r="D37" s="1">
        <f t="shared" si="1"/>
        <v>78.35453276</v>
      </c>
      <c r="E37" s="1">
        <f t="shared" si="2"/>
        <v>77.37149188</v>
      </c>
      <c r="F37" s="1">
        <f t="shared" si="3"/>
        <v>0.1112038295</v>
      </c>
      <c r="G37" s="12">
        <f t="shared" si="4"/>
        <v>0.9945317563</v>
      </c>
      <c r="H37" s="10"/>
    </row>
    <row r="38" ht="15.75" customHeight="1">
      <c r="B38" s="9">
        <v>35.0</v>
      </c>
      <c r="C38" s="1">
        <v>76.459999</v>
      </c>
      <c r="D38" s="1">
        <f t="shared" si="1"/>
        <v>77.48269571</v>
      </c>
      <c r="E38" s="1">
        <f t="shared" si="2"/>
        <v>76.4718153</v>
      </c>
      <c r="F38" s="1">
        <f t="shared" si="3"/>
        <v>0.100372139</v>
      </c>
      <c r="G38" s="12">
        <f t="shared" si="4"/>
        <v>1.02269671</v>
      </c>
      <c r="H38" s="10"/>
    </row>
    <row r="39" ht="15.75" customHeight="1">
      <c r="B39" s="9">
        <v>36.0</v>
      </c>
      <c r="C39" s="1">
        <v>76.769997</v>
      </c>
      <c r="D39" s="1">
        <f t="shared" si="1"/>
        <v>76.57218744</v>
      </c>
      <c r="E39" s="1">
        <f t="shared" si="2"/>
        <v>76.7677115</v>
      </c>
      <c r="F39" s="1">
        <f t="shared" si="3"/>
        <v>0.1024672</v>
      </c>
      <c r="G39" s="12">
        <f t="shared" si="4"/>
        <v>-0.1978095605</v>
      </c>
      <c r="H39" s="10"/>
    </row>
    <row r="40" ht="15.75" customHeight="1">
      <c r="B40" s="9">
        <v>37.0</v>
      </c>
      <c r="C40" s="1">
        <v>75.800003</v>
      </c>
      <c r="D40" s="1">
        <f t="shared" si="1"/>
        <v>76.8701787</v>
      </c>
      <c r="E40" s="1">
        <f t="shared" si="2"/>
        <v>75.81236788</v>
      </c>
      <c r="F40" s="1">
        <f t="shared" si="3"/>
        <v>0.09113264512</v>
      </c>
      <c r="G40" s="12">
        <f t="shared" si="4"/>
        <v>1.070175696</v>
      </c>
      <c r="H40" s="10"/>
    </row>
    <row r="41" ht="15.75" customHeight="1">
      <c r="B41" s="9">
        <v>38.0</v>
      </c>
      <c r="C41" s="1">
        <v>77.839996</v>
      </c>
      <c r="D41" s="1">
        <f t="shared" si="1"/>
        <v>75.90350052</v>
      </c>
      <c r="E41" s="1">
        <f t="shared" si="2"/>
        <v>77.81762161</v>
      </c>
      <c r="F41" s="1">
        <f t="shared" si="3"/>
        <v>0.1116426551</v>
      </c>
      <c r="G41" s="12">
        <f t="shared" si="4"/>
        <v>-1.936495479</v>
      </c>
      <c r="H41" s="10"/>
    </row>
    <row r="42" ht="15.75" customHeight="1">
      <c r="B42" s="9">
        <v>39.0</v>
      </c>
      <c r="C42" s="1">
        <v>78.419998</v>
      </c>
      <c r="D42" s="1">
        <f t="shared" si="1"/>
        <v>77.92926427</v>
      </c>
      <c r="E42" s="1">
        <f t="shared" si="2"/>
        <v>78.41432803</v>
      </c>
      <c r="F42" s="1">
        <f t="shared" si="3"/>
        <v>0.1168401646</v>
      </c>
      <c r="G42" s="12">
        <f t="shared" si="4"/>
        <v>-0.4907337324</v>
      </c>
      <c r="H42" s="10"/>
    </row>
    <row r="43" ht="15.75" customHeight="1">
      <c r="B43" s="9">
        <v>40.0</v>
      </c>
      <c r="C43" s="1">
        <v>79.169998</v>
      </c>
      <c r="D43" s="1">
        <f t="shared" si="1"/>
        <v>78.5311682</v>
      </c>
      <c r="E43" s="1">
        <f t="shared" si="2"/>
        <v>79.16261692</v>
      </c>
      <c r="F43" s="1">
        <f t="shared" si="3"/>
        <v>0.1236062045</v>
      </c>
      <c r="G43" s="12">
        <f t="shared" si="4"/>
        <v>-0.638829803</v>
      </c>
      <c r="H43" s="10"/>
    </row>
    <row r="44" ht="15.75" customHeight="1">
      <c r="B44" s="9">
        <v>41.0</v>
      </c>
      <c r="C44" s="1">
        <v>80.529999</v>
      </c>
      <c r="D44" s="1">
        <f t="shared" si="1"/>
        <v>79.28622313</v>
      </c>
      <c r="E44" s="1">
        <f t="shared" si="2"/>
        <v>80.51562834</v>
      </c>
      <c r="F44" s="1">
        <f t="shared" si="3"/>
        <v>0.1367794114</v>
      </c>
      <c r="G44" s="12">
        <f t="shared" si="4"/>
        <v>-1.243775874</v>
      </c>
      <c r="H44" s="10"/>
    </row>
    <row r="45" ht="15.75" customHeight="1">
      <c r="B45" s="9">
        <v>42.0</v>
      </c>
      <c r="C45" s="1">
        <v>81.040001</v>
      </c>
      <c r="D45" s="1">
        <f t="shared" si="1"/>
        <v>80.65240775</v>
      </c>
      <c r="E45" s="1">
        <f t="shared" si="2"/>
        <v>81.03552272</v>
      </c>
      <c r="F45" s="1">
        <f t="shared" si="3"/>
        <v>0.1408845289</v>
      </c>
      <c r="G45" s="12">
        <f t="shared" si="4"/>
        <v>-0.3875932513</v>
      </c>
      <c r="H45" s="10"/>
    </row>
    <row r="46" ht="15.75" customHeight="1">
      <c r="B46" s="9">
        <v>43.0</v>
      </c>
      <c r="C46" s="1">
        <v>84.089996</v>
      </c>
      <c r="D46" s="1">
        <f t="shared" si="1"/>
        <v>81.17640725</v>
      </c>
      <c r="E46" s="1">
        <f t="shared" si="2"/>
        <v>84.05633222</v>
      </c>
      <c r="F46" s="1">
        <f t="shared" si="3"/>
        <v>0.1717432295</v>
      </c>
      <c r="G46" s="12">
        <f t="shared" si="4"/>
        <v>-2.913588747</v>
      </c>
      <c r="H46" s="10"/>
    </row>
    <row r="47" ht="15.75" customHeight="1">
      <c r="B47" s="9">
        <v>44.0</v>
      </c>
      <c r="C47" s="1">
        <v>87.120003</v>
      </c>
      <c r="D47" s="1">
        <f t="shared" si="1"/>
        <v>84.22807545</v>
      </c>
      <c r="E47" s="1">
        <f t="shared" si="2"/>
        <v>87.08658949</v>
      </c>
      <c r="F47" s="1">
        <f t="shared" si="3"/>
        <v>0.2023725098</v>
      </c>
      <c r="G47" s="12">
        <f t="shared" si="4"/>
        <v>-2.891927554</v>
      </c>
      <c r="H47" s="10"/>
    </row>
    <row r="48" ht="15.75" customHeight="1">
      <c r="B48" s="9">
        <v>45.0</v>
      </c>
      <c r="C48" s="1">
        <v>87.779999</v>
      </c>
      <c r="D48" s="1">
        <f t="shared" si="1"/>
        <v>87.288962</v>
      </c>
      <c r="E48" s="1">
        <f t="shared" si="2"/>
        <v>87.77432553</v>
      </c>
      <c r="F48" s="1">
        <f t="shared" si="3"/>
        <v>0.2075732313</v>
      </c>
      <c r="G48" s="12">
        <f t="shared" si="4"/>
        <v>-0.4910369984</v>
      </c>
      <c r="H48" s="10"/>
    </row>
    <row r="49" ht="15.75" customHeight="1">
      <c r="B49" s="9">
        <v>46.0</v>
      </c>
      <c r="C49" s="1">
        <v>82.790001</v>
      </c>
      <c r="D49" s="1">
        <f t="shared" si="1"/>
        <v>87.98189876</v>
      </c>
      <c r="E49" s="1">
        <f t="shared" si="2"/>
        <v>82.84998851</v>
      </c>
      <c r="F49" s="1">
        <f t="shared" si="3"/>
        <v>0.1525842701</v>
      </c>
      <c r="G49" s="12">
        <f t="shared" si="4"/>
        <v>5.19189776</v>
      </c>
      <c r="H49" s="10"/>
    </row>
    <row r="50" ht="15.75" customHeight="1">
      <c r="B50" s="9">
        <v>47.0</v>
      </c>
      <c r="C50" s="1">
        <v>85.360001</v>
      </c>
      <c r="D50" s="1">
        <f t="shared" si="1"/>
        <v>83.00257278</v>
      </c>
      <c r="E50" s="1">
        <f t="shared" si="2"/>
        <v>85.33276313</v>
      </c>
      <c r="F50" s="1">
        <f t="shared" si="3"/>
        <v>0.1775525063</v>
      </c>
      <c r="G50" s="12">
        <f t="shared" si="4"/>
        <v>-2.357428225</v>
      </c>
      <c r="H50" s="10"/>
    </row>
    <row r="51" ht="15.75" customHeight="1">
      <c r="B51" s="9">
        <v>48.0</v>
      </c>
      <c r="C51" s="1">
        <v>84.919998</v>
      </c>
      <c r="D51" s="1">
        <f t="shared" si="1"/>
        <v>85.51031564</v>
      </c>
      <c r="E51" s="1">
        <f t="shared" si="2"/>
        <v>84.92681857</v>
      </c>
      <c r="F51" s="1">
        <f t="shared" si="3"/>
        <v>0.1713002734</v>
      </c>
      <c r="G51" s="12">
        <f t="shared" si="4"/>
        <v>0.590317636</v>
      </c>
      <c r="H51" s="10"/>
    </row>
    <row r="52" ht="15.75" customHeight="1">
      <c r="B52" s="9">
        <v>49.0</v>
      </c>
      <c r="C52" s="1">
        <v>81.879997</v>
      </c>
      <c r="D52" s="1">
        <f t="shared" si="1"/>
        <v>85.09811884</v>
      </c>
      <c r="E52" s="1">
        <f t="shared" si="2"/>
        <v>81.91717938</v>
      </c>
      <c r="F52" s="1">
        <f t="shared" si="3"/>
        <v>0.1372161706</v>
      </c>
      <c r="G52" s="12">
        <f t="shared" si="4"/>
        <v>3.21812184</v>
      </c>
      <c r="H52" s="10"/>
    </row>
    <row r="53" ht="15.75" customHeight="1">
      <c r="B53" s="9">
        <v>50.0</v>
      </c>
      <c r="C53" s="1">
        <v>77.220001</v>
      </c>
      <c r="D53" s="1">
        <f t="shared" si="1"/>
        <v>82.05439555</v>
      </c>
      <c r="E53" s="1">
        <f t="shared" si="2"/>
        <v>77.27585789</v>
      </c>
      <c r="F53" s="1">
        <f t="shared" si="3"/>
        <v>0.08601363422</v>
      </c>
      <c r="G53" s="12">
        <f t="shared" si="4"/>
        <v>4.834394548</v>
      </c>
      <c r="H53" s="10"/>
    </row>
    <row r="54" ht="15.75" customHeight="1">
      <c r="B54" s="9">
        <v>51.0</v>
      </c>
      <c r="C54" s="1">
        <v>76.93</v>
      </c>
      <c r="D54" s="1">
        <f t="shared" si="1"/>
        <v>77.36187153</v>
      </c>
      <c r="E54" s="1">
        <f t="shared" si="2"/>
        <v>76.93498987</v>
      </c>
      <c r="F54" s="1">
        <f t="shared" si="3"/>
        <v>0.08143955213</v>
      </c>
      <c r="G54" s="12">
        <f t="shared" si="4"/>
        <v>0.4318715252</v>
      </c>
      <c r="H54" s="10"/>
    </row>
    <row r="55" ht="15.75" customHeight="1">
      <c r="B55" s="9">
        <v>52.0</v>
      </c>
      <c r="C55" s="1">
        <v>78.980003</v>
      </c>
      <c r="D55" s="1">
        <f t="shared" si="1"/>
        <v>77.01642942</v>
      </c>
      <c r="E55" s="1">
        <f t="shared" si="2"/>
        <v>78.95731575</v>
      </c>
      <c r="F55" s="1">
        <f t="shared" si="3"/>
        <v>0.1022363544</v>
      </c>
      <c r="G55" s="12">
        <f t="shared" si="4"/>
        <v>-1.963573578</v>
      </c>
      <c r="H55" s="10"/>
    </row>
    <row r="56" ht="15.75" customHeight="1">
      <c r="B56" s="9">
        <v>53.0</v>
      </c>
      <c r="C56" s="1">
        <v>78.669998</v>
      </c>
      <c r="D56" s="1">
        <f t="shared" si="1"/>
        <v>79.0595521</v>
      </c>
      <c r="E56" s="1">
        <f t="shared" si="2"/>
        <v>78.67449893</v>
      </c>
      <c r="F56" s="1">
        <f t="shared" si="3"/>
        <v>0.09811046896</v>
      </c>
      <c r="G56" s="12">
        <f t="shared" si="4"/>
        <v>0.3895541049</v>
      </c>
      <c r="H56" s="10"/>
    </row>
    <row r="57" ht="15.75" customHeight="1">
      <c r="B57" s="9">
        <v>54.0</v>
      </c>
      <c r="C57" s="1">
        <v>82.199997</v>
      </c>
      <c r="D57" s="1">
        <f t="shared" si="1"/>
        <v>78.7726094</v>
      </c>
      <c r="E57" s="1">
        <f t="shared" si="2"/>
        <v>82.16039675</v>
      </c>
      <c r="F57" s="1">
        <f t="shared" si="3"/>
        <v>0.1344109688</v>
      </c>
      <c r="G57" s="12">
        <f t="shared" si="4"/>
        <v>-3.427387599</v>
      </c>
      <c r="H57" s="10"/>
    </row>
    <row r="58" ht="15.75" customHeight="1">
      <c r="B58" s="9">
        <v>55.0</v>
      </c>
      <c r="C58" s="1">
        <v>81.839996</v>
      </c>
      <c r="D58" s="1">
        <f t="shared" si="1"/>
        <v>82.29480772</v>
      </c>
      <c r="E58" s="1">
        <f t="shared" si="2"/>
        <v>81.84525092</v>
      </c>
      <c r="F58" s="1">
        <f t="shared" si="3"/>
        <v>0.1295939201</v>
      </c>
      <c r="G58" s="12">
        <f t="shared" si="4"/>
        <v>0.4548117223</v>
      </c>
      <c r="H58" s="10"/>
    </row>
    <row r="59" ht="15.75" customHeight="1">
      <c r="B59" s="9">
        <v>56.0</v>
      </c>
      <c r="C59" s="1">
        <v>83.129997</v>
      </c>
      <c r="D59" s="1">
        <f t="shared" si="1"/>
        <v>81.97484484</v>
      </c>
      <c r="E59" s="1">
        <f t="shared" si="2"/>
        <v>83.1166503</v>
      </c>
      <c r="F59" s="1">
        <f t="shared" si="3"/>
        <v>0.1418284864</v>
      </c>
      <c r="G59" s="12">
        <f t="shared" si="4"/>
        <v>-1.155152157</v>
      </c>
      <c r="H59" s="10"/>
    </row>
    <row r="60" ht="15.75" customHeight="1">
      <c r="B60" s="9">
        <v>57.0</v>
      </c>
      <c r="C60" s="1">
        <v>83.379997</v>
      </c>
      <c r="D60" s="1">
        <f t="shared" si="1"/>
        <v>83.25847879</v>
      </c>
      <c r="E60" s="1">
        <f t="shared" si="2"/>
        <v>83.37859297</v>
      </c>
      <c r="F60" s="1">
        <f t="shared" si="3"/>
        <v>0.1431155226</v>
      </c>
      <c r="G60" s="12">
        <f t="shared" si="4"/>
        <v>-0.1215182125</v>
      </c>
      <c r="H60" s="10"/>
    </row>
    <row r="61" ht="15.75" customHeight="1">
      <c r="B61" s="9">
        <v>58.0</v>
      </c>
      <c r="C61" s="1">
        <v>85.199997</v>
      </c>
      <c r="D61" s="1">
        <f t="shared" si="1"/>
        <v>83.52170849</v>
      </c>
      <c r="E61" s="1">
        <f t="shared" si="2"/>
        <v>85.18060595</v>
      </c>
      <c r="F61" s="1">
        <f t="shared" si="3"/>
        <v>0.1608907843</v>
      </c>
      <c r="G61" s="12">
        <f t="shared" si="4"/>
        <v>-1.678288506</v>
      </c>
      <c r="H61" s="10"/>
    </row>
    <row r="62" ht="15.75" customHeight="1">
      <c r="B62" s="9">
        <v>59.0</v>
      </c>
      <c r="C62" s="1">
        <v>82.809998</v>
      </c>
      <c r="D62" s="1">
        <f t="shared" si="1"/>
        <v>85.34149674</v>
      </c>
      <c r="E62" s="1">
        <f t="shared" si="2"/>
        <v>82.83924709</v>
      </c>
      <c r="F62" s="1">
        <f t="shared" si="3"/>
        <v>0.1340789147</v>
      </c>
      <c r="G62" s="12">
        <f t="shared" si="4"/>
        <v>2.531498736</v>
      </c>
      <c r="H62" s="10"/>
    </row>
    <row r="63" ht="15.75" customHeight="1">
      <c r="B63" s="9">
        <v>60.0</v>
      </c>
      <c r="C63" s="1">
        <v>82.370003</v>
      </c>
      <c r="D63" s="1">
        <f t="shared" si="1"/>
        <v>82.97332601</v>
      </c>
      <c r="E63" s="1">
        <f t="shared" si="2"/>
        <v>82.37697383</v>
      </c>
      <c r="F63" s="1">
        <f t="shared" si="3"/>
        <v>0.127688938</v>
      </c>
      <c r="G63" s="12">
        <f t="shared" si="4"/>
        <v>0.6033230063</v>
      </c>
      <c r="H63" s="10"/>
    </row>
    <row r="64" ht="15.75" customHeight="1">
      <c r="B64" s="9">
        <v>61.0</v>
      </c>
      <c r="C64" s="1">
        <v>83.779999</v>
      </c>
      <c r="D64" s="1">
        <f t="shared" si="1"/>
        <v>82.50466277</v>
      </c>
      <c r="E64" s="1">
        <f t="shared" si="2"/>
        <v>83.76526369</v>
      </c>
      <c r="F64" s="1">
        <f t="shared" si="3"/>
        <v>0.1411964102</v>
      </c>
      <c r="G64" s="12">
        <f t="shared" si="4"/>
        <v>-1.275336231</v>
      </c>
      <c r="H64" s="10"/>
    </row>
    <row r="65" ht="15.75" customHeight="1">
      <c r="B65" s="9">
        <v>62.0</v>
      </c>
      <c r="C65" s="1">
        <v>82.589996</v>
      </c>
      <c r="D65" s="1">
        <f t="shared" si="1"/>
        <v>83.9064601</v>
      </c>
      <c r="E65" s="1">
        <f t="shared" si="2"/>
        <v>82.60520651</v>
      </c>
      <c r="F65" s="1">
        <f t="shared" si="3"/>
        <v>0.1272533404</v>
      </c>
      <c r="G65" s="12">
        <f t="shared" si="4"/>
        <v>1.316464097</v>
      </c>
      <c r="H65" s="10"/>
    </row>
    <row r="66" ht="15.75" customHeight="1">
      <c r="B66" s="9">
        <v>63.0</v>
      </c>
      <c r="C66" s="1">
        <v>83.120003</v>
      </c>
      <c r="D66" s="1">
        <f t="shared" si="1"/>
        <v>82.73245985</v>
      </c>
      <c r="E66" s="1">
        <f t="shared" si="2"/>
        <v>83.1155253</v>
      </c>
      <c r="F66" s="1">
        <f t="shared" si="3"/>
        <v>0.1313579272</v>
      </c>
      <c r="G66" s="12">
        <f t="shared" si="4"/>
        <v>-0.3875431528</v>
      </c>
      <c r="H66" s="10"/>
    </row>
    <row r="67" ht="15.75" customHeight="1">
      <c r="B67" s="9">
        <v>64.0</v>
      </c>
      <c r="C67" s="1">
        <v>83.160004</v>
      </c>
      <c r="D67" s="1">
        <f t="shared" si="1"/>
        <v>83.24688323</v>
      </c>
      <c r="E67" s="1">
        <f t="shared" si="2"/>
        <v>83.16100781</v>
      </c>
      <c r="F67" s="1">
        <f t="shared" si="3"/>
        <v>0.130437763</v>
      </c>
      <c r="G67" s="12">
        <f t="shared" si="4"/>
        <v>0.08687922988</v>
      </c>
      <c r="H67" s="10"/>
    </row>
    <row r="68" ht="15.75" customHeight="1">
      <c r="B68" s="9">
        <v>65.0</v>
      </c>
      <c r="C68" s="1">
        <v>82.730003</v>
      </c>
      <c r="D68" s="1">
        <f t="shared" si="1"/>
        <v>83.29144557</v>
      </c>
      <c r="E68" s="1">
        <f t="shared" si="2"/>
        <v>82.73648994</v>
      </c>
      <c r="F68" s="1">
        <f t="shared" si="3"/>
        <v>0.1244913547</v>
      </c>
      <c r="G68" s="12">
        <f t="shared" si="4"/>
        <v>0.5614425709</v>
      </c>
      <c r="H68" s="10"/>
    </row>
    <row r="69" ht="15.75" customHeight="1">
      <c r="B69" s="9">
        <v>66.0</v>
      </c>
      <c r="C69" s="1">
        <v>83.650002</v>
      </c>
      <c r="D69" s="1">
        <f t="shared" si="1"/>
        <v>82.8609813</v>
      </c>
      <c r="E69" s="1">
        <f t="shared" si="2"/>
        <v>83.64088561</v>
      </c>
      <c r="F69" s="1">
        <f t="shared" si="3"/>
        <v>0.1328481119</v>
      </c>
      <c r="G69" s="12">
        <f t="shared" si="4"/>
        <v>-0.7890207034</v>
      </c>
      <c r="H69" s="10"/>
    </row>
    <row r="70" ht="15.75" customHeight="1">
      <c r="B70" s="9">
        <v>67.0</v>
      </c>
      <c r="C70" s="1">
        <v>85.050003</v>
      </c>
      <c r="D70" s="1">
        <f t="shared" si="1"/>
        <v>83.77373372</v>
      </c>
      <c r="E70" s="1">
        <f t="shared" si="2"/>
        <v>85.03525691</v>
      </c>
      <c r="F70" s="1">
        <f t="shared" si="3"/>
        <v>0.1463654663</v>
      </c>
      <c r="G70" s="12">
        <f t="shared" si="4"/>
        <v>-1.276269282</v>
      </c>
      <c r="H70" s="10"/>
    </row>
    <row r="71" ht="15.75" customHeight="1">
      <c r="B71" s="9">
        <v>68.0</v>
      </c>
      <c r="C71" s="1">
        <v>86.839996</v>
      </c>
      <c r="D71" s="1">
        <f t="shared" si="1"/>
        <v>85.18162237</v>
      </c>
      <c r="E71" s="1">
        <f t="shared" si="2"/>
        <v>86.82083505</v>
      </c>
      <c r="F71" s="1">
        <f t="shared" si="3"/>
        <v>0.1639298035</v>
      </c>
      <c r="G71" s="12">
        <f t="shared" si="4"/>
        <v>-1.658373627</v>
      </c>
      <c r="H71" s="10"/>
    </row>
    <row r="72" ht="15.75" customHeight="1">
      <c r="B72" s="9">
        <v>69.0</v>
      </c>
      <c r="C72" s="1">
        <v>83.849998</v>
      </c>
      <c r="D72" s="1">
        <f t="shared" si="1"/>
        <v>86.98476485</v>
      </c>
      <c r="E72" s="1">
        <f t="shared" si="2"/>
        <v>83.88621729</v>
      </c>
      <c r="F72" s="1">
        <f t="shared" si="3"/>
        <v>0.1307285386</v>
      </c>
      <c r="G72" s="12">
        <f t="shared" si="4"/>
        <v>3.134766853</v>
      </c>
      <c r="H72" s="10"/>
    </row>
    <row r="73" ht="15.75" customHeight="1">
      <c r="B73" s="9">
        <v>70.0</v>
      </c>
      <c r="C73" s="1">
        <v>85.599998</v>
      </c>
      <c r="D73" s="1">
        <f t="shared" si="1"/>
        <v>84.01694583</v>
      </c>
      <c r="E73" s="1">
        <f t="shared" si="2"/>
        <v>85.58170732</v>
      </c>
      <c r="F73" s="1">
        <f t="shared" si="3"/>
        <v>0.1474951235</v>
      </c>
      <c r="G73" s="12">
        <f t="shared" si="4"/>
        <v>-1.583052173</v>
      </c>
      <c r="H73" s="10"/>
    </row>
    <row r="74" ht="15.75" customHeight="1">
      <c r="B74" s="9">
        <v>71.0</v>
      </c>
      <c r="C74" s="1">
        <v>86.809998</v>
      </c>
      <c r="D74" s="1">
        <f t="shared" si="1"/>
        <v>85.72920244</v>
      </c>
      <c r="E74" s="1">
        <f t="shared" si="2"/>
        <v>86.79751042</v>
      </c>
      <c r="F74" s="1">
        <f t="shared" si="3"/>
        <v>0.1589421565</v>
      </c>
      <c r="G74" s="12">
        <f t="shared" si="4"/>
        <v>-1.080795558</v>
      </c>
      <c r="H74" s="10"/>
    </row>
    <row r="75" ht="15.75" customHeight="1">
      <c r="B75" s="9">
        <v>72.0</v>
      </c>
      <c r="C75" s="1">
        <v>87.830002</v>
      </c>
      <c r="D75" s="1">
        <f t="shared" si="1"/>
        <v>86.95645258</v>
      </c>
      <c r="E75" s="1">
        <f t="shared" si="2"/>
        <v>87.81990896</v>
      </c>
      <c r="F75" s="1">
        <f t="shared" si="3"/>
        <v>0.1681941829</v>
      </c>
      <c r="G75" s="12">
        <f t="shared" si="4"/>
        <v>-0.8735494216</v>
      </c>
      <c r="H75" s="10"/>
    </row>
    <row r="76" ht="15.75" customHeight="1">
      <c r="B76" s="9">
        <v>73.0</v>
      </c>
      <c r="C76" s="1">
        <v>88.550003</v>
      </c>
      <c r="D76" s="1">
        <f t="shared" si="1"/>
        <v>87.98810314</v>
      </c>
      <c r="E76" s="1">
        <f t="shared" si="2"/>
        <v>88.54351077</v>
      </c>
      <c r="F76" s="1">
        <f t="shared" si="3"/>
        <v>0.1741454345</v>
      </c>
      <c r="G76" s="12">
        <f t="shared" si="4"/>
        <v>-0.5618998606</v>
      </c>
      <c r="H76" s="10"/>
    </row>
    <row r="77" ht="15.75" customHeight="1">
      <c r="B77" s="9">
        <v>74.0</v>
      </c>
      <c r="C77" s="1">
        <v>87.760002</v>
      </c>
      <c r="D77" s="1">
        <f t="shared" si="1"/>
        <v>88.71765621</v>
      </c>
      <c r="E77" s="1">
        <f t="shared" si="2"/>
        <v>87.7710668</v>
      </c>
      <c r="F77" s="1">
        <f t="shared" si="3"/>
        <v>0.1640026288</v>
      </c>
      <c r="G77" s="12">
        <f t="shared" si="4"/>
        <v>0.9576542091</v>
      </c>
      <c r="H77" s="10"/>
    </row>
    <row r="78" ht="15.75" customHeight="1">
      <c r="B78" s="9">
        <v>75.0</v>
      </c>
      <c r="C78" s="1">
        <v>87.959999</v>
      </c>
      <c r="D78" s="1">
        <f t="shared" si="1"/>
        <v>87.93506942</v>
      </c>
      <c r="E78" s="1">
        <f t="shared" si="2"/>
        <v>87.95971096</v>
      </c>
      <c r="F78" s="1">
        <f t="shared" si="3"/>
        <v>0.1642666655</v>
      </c>
      <c r="G78" s="12">
        <f t="shared" si="4"/>
        <v>-0.02492957576</v>
      </c>
      <c r="H78" s="10"/>
    </row>
    <row r="79" ht="15.75" customHeight="1">
      <c r="B79" s="9">
        <v>76.0</v>
      </c>
      <c r="C79" s="1">
        <v>87.029999</v>
      </c>
      <c r="D79" s="1">
        <f t="shared" si="1"/>
        <v>88.12397763</v>
      </c>
      <c r="E79" s="1">
        <f t="shared" si="2"/>
        <v>87.0426389</v>
      </c>
      <c r="F79" s="1">
        <f t="shared" si="3"/>
        <v>0.1526800066</v>
      </c>
      <c r="G79" s="12">
        <f t="shared" si="4"/>
        <v>1.093978628</v>
      </c>
      <c r="H79" s="10"/>
    </row>
    <row r="80" ht="15.75" customHeight="1">
      <c r="B80" s="9">
        <v>77.0</v>
      </c>
      <c r="C80" s="1">
        <v>85.129997</v>
      </c>
      <c r="D80" s="1">
        <f t="shared" si="1"/>
        <v>87.1953189</v>
      </c>
      <c r="E80" s="1">
        <f t="shared" si="2"/>
        <v>85.15385986</v>
      </c>
      <c r="F80" s="1">
        <f t="shared" si="3"/>
        <v>0.130805557</v>
      </c>
      <c r="G80" s="12">
        <f t="shared" si="4"/>
        <v>2.065321903</v>
      </c>
      <c r="H80" s="10"/>
    </row>
    <row r="81" ht="15.75" customHeight="1">
      <c r="B81" s="9">
        <v>78.0</v>
      </c>
      <c r="C81" s="1">
        <v>82.260002</v>
      </c>
      <c r="D81" s="1">
        <f t="shared" si="1"/>
        <v>85.28466541</v>
      </c>
      <c r="E81" s="1">
        <f t="shared" si="2"/>
        <v>82.29494915</v>
      </c>
      <c r="F81" s="1">
        <f t="shared" si="3"/>
        <v>0.09877043096</v>
      </c>
      <c r="G81" s="12">
        <f t="shared" si="4"/>
        <v>3.024663413</v>
      </c>
      <c r="H81" s="10"/>
    </row>
    <row r="82" ht="15.75" customHeight="1">
      <c r="B82" s="9">
        <v>79.0</v>
      </c>
      <c r="C82" s="1">
        <v>82.290001</v>
      </c>
      <c r="D82" s="1">
        <f t="shared" si="1"/>
        <v>82.39371958</v>
      </c>
      <c r="E82" s="1">
        <f t="shared" si="2"/>
        <v>82.29119937</v>
      </c>
      <c r="F82" s="1">
        <f t="shared" si="3"/>
        <v>0.0976719161</v>
      </c>
      <c r="G82" s="12">
        <f t="shared" si="4"/>
        <v>0.1037185775</v>
      </c>
      <c r="H82" s="10"/>
    </row>
    <row r="83" ht="15.75" customHeight="1">
      <c r="B83" s="9">
        <v>80.0</v>
      </c>
      <c r="C83" s="1">
        <v>84.639999</v>
      </c>
      <c r="D83" s="1">
        <f t="shared" si="1"/>
        <v>82.38887129</v>
      </c>
      <c r="E83" s="1">
        <f t="shared" si="2"/>
        <v>84.61398933</v>
      </c>
      <c r="F83" s="1">
        <f t="shared" si="3"/>
        <v>0.1215142913</v>
      </c>
      <c r="G83" s="12">
        <f t="shared" si="4"/>
        <v>-2.251127713</v>
      </c>
      <c r="H83" s="10"/>
    </row>
    <row r="84" ht="15.75" customHeight="1">
      <c r="B84" s="9">
        <v>81.0</v>
      </c>
      <c r="C84" s="1">
        <v>87.199997</v>
      </c>
      <c r="D84" s="1">
        <f t="shared" si="1"/>
        <v>84.73550362</v>
      </c>
      <c r="E84" s="1">
        <f t="shared" si="2"/>
        <v>87.17152209</v>
      </c>
      <c r="F84" s="1">
        <f t="shared" si="3"/>
        <v>0.1476164869</v>
      </c>
      <c r="G84" s="12">
        <f t="shared" si="4"/>
        <v>-2.464493376</v>
      </c>
      <c r="H84" s="10"/>
    </row>
    <row r="85" ht="15.75" customHeight="1">
      <c r="B85" s="9">
        <v>82.0</v>
      </c>
      <c r="C85" s="1">
        <v>85.25</v>
      </c>
      <c r="D85" s="1">
        <f t="shared" si="1"/>
        <v>87.31913858</v>
      </c>
      <c r="E85" s="1">
        <f t="shared" si="2"/>
        <v>85.27390695</v>
      </c>
      <c r="F85" s="1">
        <f t="shared" si="3"/>
        <v>0.1257016137</v>
      </c>
      <c r="G85" s="12">
        <f t="shared" si="4"/>
        <v>2.069138579</v>
      </c>
      <c r="H85" s="10"/>
    </row>
    <row r="86" ht="15.75" customHeight="1">
      <c r="B86" s="9">
        <v>83.0</v>
      </c>
      <c r="C86" s="1">
        <v>86.410004</v>
      </c>
      <c r="D86" s="1">
        <f t="shared" si="1"/>
        <v>85.39960857</v>
      </c>
      <c r="E86" s="1">
        <f t="shared" si="2"/>
        <v>86.39832983</v>
      </c>
      <c r="F86" s="1">
        <f t="shared" si="3"/>
        <v>0.1364030176</v>
      </c>
      <c r="G86" s="12">
        <f t="shared" si="4"/>
        <v>-1.010395432</v>
      </c>
      <c r="H86" s="10"/>
    </row>
    <row r="87" ht="15.75" customHeight="1">
      <c r="B87" s="9">
        <v>84.0</v>
      </c>
      <c r="C87" s="1">
        <v>88.190002</v>
      </c>
      <c r="D87" s="1">
        <f t="shared" si="1"/>
        <v>86.53473285</v>
      </c>
      <c r="E87" s="1">
        <f t="shared" si="2"/>
        <v>88.17087692</v>
      </c>
      <c r="F87" s="1">
        <f t="shared" si="3"/>
        <v>0.1539344744</v>
      </c>
      <c r="G87" s="12">
        <f t="shared" si="4"/>
        <v>-1.655269153</v>
      </c>
      <c r="H87" s="10"/>
    </row>
    <row r="88" ht="15.75" customHeight="1">
      <c r="B88" s="9">
        <v>85.0</v>
      </c>
      <c r="C88" s="1">
        <v>91.699997</v>
      </c>
      <c r="D88" s="1">
        <f t="shared" si="1"/>
        <v>88.32481139</v>
      </c>
      <c r="E88" s="1">
        <f t="shared" si="2"/>
        <v>91.6609999</v>
      </c>
      <c r="F88" s="1">
        <f t="shared" si="3"/>
        <v>0.1896820871</v>
      </c>
      <c r="G88" s="12">
        <f t="shared" si="4"/>
        <v>-3.375185607</v>
      </c>
      <c r="H88" s="10"/>
    </row>
    <row r="89" ht="15.75" customHeight="1">
      <c r="B89" s="9">
        <v>86.0</v>
      </c>
      <c r="C89" s="1">
        <v>90.309998</v>
      </c>
      <c r="D89" s="1">
        <f t="shared" si="1"/>
        <v>91.85068199</v>
      </c>
      <c r="E89" s="1">
        <f t="shared" si="2"/>
        <v>90.32779916</v>
      </c>
      <c r="F89" s="1">
        <f t="shared" si="3"/>
        <v>0.1733642365</v>
      </c>
      <c r="G89" s="12">
        <f t="shared" si="4"/>
        <v>1.540683986</v>
      </c>
      <c r="H89" s="10"/>
    </row>
    <row r="90" ht="15.75" customHeight="1">
      <c r="B90" s="9">
        <v>87.0</v>
      </c>
      <c r="C90" s="1">
        <v>91.690002</v>
      </c>
      <c r="D90" s="1">
        <f t="shared" si="1"/>
        <v>90.50116339</v>
      </c>
      <c r="E90" s="1">
        <f t="shared" si="2"/>
        <v>91.67626609</v>
      </c>
      <c r="F90" s="1">
        <f t="shared" si="3"/>
        <v>0.1859555862</v>
      </c>
      <c r="G90" s="12">
        <f t="shared" si="4"/>
        <v>-1.188838606</v>
      </c>
      <c r="H90" s="10"/>
    </row>
    <row r="91" ht="15.75" customHeight="1">
      <c r="B91" s="9">
        <v>88.0</v>
      </c>
      <c r="C91" s="1">
        <v>84.459999</v>
      </c>
      <c r="D91" s="1">
        <f t="shared" si="1"/>
        <v>91.86222167</v>
      </c>
      <c r="E91" s="1">
        <f t="shared" si="2"/>
        <v>84.54552473</v>
      </c>
      <c r="F91" s="1">
        <f t="shared" si="3"/>
        <v>0.1075564046</v>
      </c>
      <c r="G91" s="12">
        <f t="shared" si="4"/>
        <v>7.402222672</v>
      </c>
      <c r="H91" s="10"/>
    </row>
    <row r="92" ht="15.75" customHeight="1">
      <c r="B92" s="9">
        <v>89.0</v>
      </c>
      <c r="C92" s="1">
        <v>85.019997</v>
      </c>
      <c r="D92" s="1">
        <f t="shared" si="1"/>
        <v>84.65308114</v>
      </c>
      <c r="E92" s="1">
        <f t="shared" si="2"/>
        <v>85.01575763</v>
      </c>
      <c r="F92" s="1">
        <f t="shared" si="3"/>
        <v>0.1114425216</v>
      </c>
      <c r="G92" s="12">
        <f t="shared" si="4"/>
        <v>-0.3669158609</v>
      </c>
      <c r="H92" s="10"/>
    </row>
    <row r="93" ht="15.75" customHeight="1">
      <c r="B93" s="9">
        <v>90.0</v>
      </c>
      <c r="C93" s="1">
        <v>86.790001</v>
      </c>
      <c r="D93" s="1">
        <f t="shared" si="1"/>
        <v>85.12720015</v>
      </c>
      <c r="E93" s="1">
        <f t="shared" si="2"/>
        <v>86.7707889</v>
      </c>
      <c r="F93" s="1">
        <f t="shared" si="3"/>
        <v>0.1290537488</v>
      </c>
      <c r="G93" s="12">
        <f t="shared" si="4"/>
        <v>-1.662800847</v>
      </c>
      <c r="H93" s="10"/>
    </row>
    <row r="94" ht="15.75" customHeight="1">
      <c r="B94" s="9">
        <v>91.0</v>
      </c>
      <c r="C94" s="1">
        <v>86.300003</v>
      </c>
      <c r="D94" s="1">
        <f t="shared" si="1"/>
        <v>86.89984265</v>
      </c>
      <c r="E94" s="1">
        <f t="shared" si="2"/>
        <v>86.30693358</v>
      </c>
      <c r="F94" s="1">
        <f t="shared" si="3"/>
        <v>0.1227006655</v>
      </c>
      <c r="G94" s="12">
        <f t="shared" si="4"/>
        <v>0.5998396459</v>
      </c>
      <c r="H94" s="10"/>
    </row>
    <row r="95" ht="15.75" customHeight="1">
      <c r="B95" s="9">
        <v>92.0</v>
      </c>
      <c r="C95" s="1">
        <v>88.860001</v>
      </c>
      <c r="D95" s="1">
        <f t="shared" si="1"/>
        <v>86.42963425</v>
      </c>
      <c r="E95" s="1">
        <f t="shared" si="2"/>
        <v>88.83192039</v>
      </c>
      <c r="F95" s="1">
        <f t="shared" si="3"/>
        <v>0.1484414156</v>
      </c>
      <c r="G95" s="12">
        <f t="shared" si="4"/>
        <v>-2.43036675</v>
      </c>
      <c r="H95" s="10"/>
    </row>
    <row r="96" ht="15.75" customHeight="1">
      <c r="B96" s="9">
        <v>93.0</v>
      </c>
      <c r="C96" s="1">
        <v>90.949997</v>
      </c>
      <c r="D96" s="1">
        <f t="shared" si="1"/>
        <v>88.98036181</v>
      </c>
      <c r="E96" s="1">
        <f t="shared" si="2"/>
        <v>90.92723971</v>
      </c>
      <c r="F96" s="1">
        <f t="shared" si="3"/>
        <v>0.1693024183</v>
      </c>
      <c r="G96" s="12">
        <f t="shared" si="4"/>
        <v>-1.969635191</v>
      </c>
      <c r="H96" s="10"/>
    </row>
    <row r="97" ht="15.75" customHeight="1">
      <c r="B97" s="9">
        <v>94.0</v>
      </c>
      <c r="C97" s="1">
        <v>92.110001</v>
      </c>
      <c r="D97" s="1">
        <f t="shared" si="1"/>
        <v>91.09654213</v>
      </c>
      <c r="E97" s="1">
        <f t="shared" si="2"/>
        <v>92.09829143</v>
      </c>
      <c r="F97" s="1">
        <f t="shared" si="3"/>
        <v>0.180036268</v>
      </c>
      <c r="G97" s="12">
        <f t="shared" si="4"/>
        <v>-1.013458867</v>
      </c>
      <c r="H97" s="10"/>
    </row>
    <row r="98" ht="15.75" customHeight="1">
      <c r="B98" s="9">
        <v>95.0</v>
      </c>
      <c r="C98" s="1">
        <v>90.650002</v>
      </c>
      <c r="D98" s="1">
        <f t="shared" si="1"/>
        <v>92.2783277</v>
      </c>
      <c r="E98" s="1">
        <f t="shared" si="2"/>
        <v>90.66881577</v>
      </c>
      <c r="F98" s="1">
        <f t="shared" si="3"/>
        <v>0.1627901775</v>
      </c>
      <c r="G98" s="12">
        <f t="shared" si="4"/>
        <v>1.628325702</v>
      </c>
      <c r="H98" s="10"/>
    </row>
    <row r="99" ht="15.75" customHeight="1">
      <c r="B99" s="9">
        <v>96.0</v>
      </c>
      <c r="C99" s="1">
        <v>91.139999</v>
      </c>
      <c r="D99" s="1">
        <f t="shared" si="1"/>
        <v>90.83160595</v>
      </c>
      <c r="E99" s="1">
        <f t="shared" si="2"/>
        <v>91.13643581</v>
      </c>
      <c r="F99" s="1">
        <f t="shared" si="3"/>
        <v>0.1660564616</v>
      </c>
      <c r="G99" s="12">
        <f t="shared" si="4"/>
        <v>-0.3083930475</v>
      </c>
      <c r="H99" s="10"/>
    </row>
    <row r="100" ht="15.75" customHeight="1">
      <c r="B100" s="9">
        <v>97.0</v>
      </c>
      <c r="C100" s="1">
        <v>91.860001</v>
      </c>
      <c r="D100" s="1">
        <f t="shared" si="1"/>
        <v>91.30249227</v>
      </c>
      <c r="E100" s="1">
        <f t="shared" si="2"/>
        <v>91.85355951</v>
      </c>
      <c r="F100" s="1">
        <f t="shared" si="3"/>
        <v>0.1719612054</v>
      </c>
      <c r="G100" s="12">
        <f t="shared" si="4"/>
        <v>-0.5575087305</v>
      </c>
      <c r="H100" s="10"/>
    </row>
    <row r="101" ht="15.75" customHeight="1">
      <c r="B101" s="9">
        <v>98.0</v>
      </c>
      <c r="C101" s="1">
        <v>93.889999</v>
      </c>
      <c r="D101" s="1">
        <f t="shared" si="1"/>
        <v>92.02552072</v>
      </c>
      <c r="E101" s="1">
        <f t="shared" si="2"/>
        <v>93.8684567</v>
      </c>
      <c r="F101" s="1">
        <f t="shared" si="3"/>
        <v>0.1917084594</v>
      </c>
      <c r="G101" s="12">
        <f t="shared" si="4"/>
        <v>-1.864478285</v>
      </c>
      <c r="H101" s="10"/>
    </row>
    <row r="102" ht="15.75" customHeight="1">
      <c r="B102" s="9">
        <v>99.0</v>
      </c>
      <c r="C102" s="1">
        <v>94.400002</v>
      </c>
      <c r="D102" s="1">
        <f t="shared" si="1"/>
        <v>94.06016516</v>
      </c>
      <c r="E102" s="1">
        <f t="shared" si="2"/>
        <v>94.3960755</v>
      </c>
      <c r="F102" s="1">
        <f t="shared" si="3"/>
        <v>0.1953077743</v>
      </c>
      <c r="G102" s="12">
        <f t="shared" si="4"/>
        <v>-0.339836837</v>
      </c>
      <c r="H102" s="10"/>
    </row>
    <row r="103" ht="15.75" customHeight="1">
      <c r="B103" s="9">
        <v>100.0</v>
      </c>
      <c r="C103" s="1">
        <v>96.300003</v>
      </c>
      <c r="D103" s="1">
        <f t="shared" si="1"/>
        <v>94.59138328</v>
      </c>
      <c r="E103" s="1">
        <f t="shared" si="2"/>
        <v>96.2802615</v>
      </c>
      <c r="F103" s="1">
        <f t="shared" si="3"/>
        <v>0.2134042831</v>
      </c>
      <c r="G103" s="12">
        <f t="shared" si="4"/>
        <v>-1.708619721</v>
      </c>
      <c r="H103" s="10"/>
    </row>
    <row r="104" ht="15.75" customHeight="1">
      <c r="B104" s="9">
        <v>101.0</v>
      </c>
      <c r="C104" s="1">
        <v>96.639999</v>
      </c>
      <c r="D104" s="1">
        <f t="shared" si="1"/>
        <v>96.49366579</v>
      </c>
      <c r="E104" s="1">
        <f t="shared" si="2"/>
        <v>96.63830826</v>
      </c>
      <c r="F104" s="1">
        <f t="shared" si="3"/>
        <v>0.2149541425</v>
      </c>
      <c r="G104" s="12">
        <f t="shared" si="4"/>
        <v>-0.1463332139</v>
      </c>
      <c r="H104" s="10"/>
    </row>
    <row r="105" ht="15.75" customHeight="1">
      <c r="B105" s="9">
        <v>102.0</v>
      </c>
      <c r="C105" s="1">
        <v>97.589996</v>
      </c>
      <c r="D105" s="1">
        <f t="shared" si="1"/>
        <v>96.8532624</v>
      </c>
      <c r="E105" s="1">
        <f t="shared" si="2"/>
        <v>97.58148373</v>
      </c>
      <c r="F105" s="1">
        <f t="shared" si="3"/>
        <v>0.2227571111</v>
      </c>
      <c r="G105" s="12">
        <f t="shared" si="4"/>
        <v>-0.7367336005</v>
      </c>
      <c r="H105" s="10"/>
    </row>
    <row r="106" ht="15.75" customHeight="1">
      <c r="B106" s="9">
        <v>103.0</v>
      </c>
      <c r="C106" s="1">
        <v>96.0</v>
      </c>
      <c r="D106" s="1">
        <f t="shared" si="1"/>
        <v>97.80424085</v>
      </c>
      <c r="E106" s="1">
        <f t="shared" si="2"/>
        <v>96.02084631</v>
      </c>
      <c r="F106" s="1">
        <f t="shared" si="3"/>
        <v>0.20364785</v>
      </c>
      <c r="G106" s="12">
        <f t="shared" si="4"/>
        <v>1.804240846</v>
      </c>
      <c r="H106" s="10"/>
    </row>
    <row r="107" ht="15.75" customHeight="1">
      <c r="B107" s="9">
        <v>104.0</v>
      </c>
      <c r="C107" s="1">
        <v>97.839996</v>
      </c>
      <c r="D107" s="1">
        <f t="shared" si="1"/>
        <v>96.22449416</v>
      </c>
      <c r="E107" s="1">
        <f t="shared" si="2"/>
        <v>97.82133039</v>
      </c>
      <c r="F107" s="1">
        <f t="shared" si="3"/>
        <v>0.2207581192</v>
      </c>
      <c r="G107" s="12">
        <f t="shared" si="4"/>
        <v>-1.615501841</v>
      </c>
      <c r="H107" s="10"/>
    </row>
    <row r="108" ht="15.75" customHeight="1">
      <c r="B108" s="9">
        <v>105.0</v>
      </c>
      <c r="C108" s="1">
        <v>97.669998</v>
      </c>
      <c r="D108" s="1">
        <f t="shared" si="1"/>
        <v>98.04208851</v>
      </c>
      <c r="E108" s="1">
        <f t="shared" si="2"/>
        <v>97.67429716</v>
      </c>
      <c r="F108" s="1">
        <f t="shared" si="3"/>
        <v>0.2168171959</v>
      </c>
      <c r="G108" s="12">
        <f t="shared" si="4"/>
        <v>0.3720905119</v>
      </c>
      <c r="H108" s="10"/>
    </row>
    <row r="109" ht="15.75" customHeight="1">
      <c r="B109" s="9">
        <v>106.0</v>
      </c>
      <c r="C109" s="1">
        <v>99.089996</v>
      </c>
      <c r="D109" s="1">
        <f t="shared" si="1"/>
        <v>97.89111435</v>
      </c>
      <c r="E109" s="1">
        <f t="shared" si="2"/>
        <v>99.07614405</v>
      </c>
      <c r="F109" s="1">
        <f t="shared" si="3"/>
        <v>0.2295149144</v>
      </c>
      <c r="G109" s="12">
        <f t="shared" si="4"/>
        <v>-1.198881648</v>
      </c>
      <c r="H109" s="10"/>
    </row>
    <row r="110" ht="15.75" customHeight="1">
      <c r="B110" s="9">
        <v>107.0</v>
      </c>
      <c r="C110" s="1">
        <v>98.839996</v>
      </c>
      <c r="D110" s="1">
        <f t="shared" si="1"/>
        <v>99.30565896</v>
      </c>
      <c r="E110" s="1">
        <f t="shared" si="2"/>
        <v>98.8453763</v>
      </c>
      <c r="F110" s="1">
        <f t="shared" si="3"/>
        <v>0.224582937</v>
      </c>
      <c r="G110" s="12">
        <f t="shared" si="4"/>
        <v>0.4656629624</v>
      </c>
      <c r="H110" s="10"/>
    </row>
    <row r="111" ht="15.75" customHeight="1">
      <c r="B111" s="9">
        <v>108.0</v>
      </c>
      <c r="C111" s="1">
        <v>103.370003</v>
      </c>
      <c r="D111" s="1">
        <f t="shared" si="1"/>
        <v>99.06995924</v>
      </c>
      <c r="E111" s="1">
        <f t="shared" si="2"/>
        <v>103.32032</v>
      </c>
      <c r="F111" s="1">
        <f t="shared" si="3"/>
        <v>0.2701260025</v>
      </c>
      <c r="G111" s="12">
        <f t="shared" si="4"/>
        <v>-4.300043765</v>
      </c>
      <c r="H111" s="10"/>
    </row>
    <row r="112" ht="15.75" customHeight="1">
      <c r="B112" s="9">
        <v>109.0</v>
      </c>
      <c r="C112" s="1">
        <v>104.589996</v>
      </c>
      <c r="D112" s="1">
        <f t="shared" si="1"/>
        <v>103.590446</v>
      </c>
      <c r="E112" s="1">
        <f t="shared" si="2"/>
        <v>104.5784471</v>
      </c>
      <c r="F112" s="1">
        <f t="shared" si="3"/>
        <v>0.2807125388</v>
      </c>
      <c r="G112" s="12">
        <f t="shared" si="4"/>
        <v>-0.9995499668</v>
      </c>
      <c r="H112" s="10"/>
    </row>
    <row r="113" ht="15.75" customHeight="1">
      <c r="B113" s="9">
        <v>110.0</v>
      </c>
      <c r="C113" s="1">
        <v>102.330002</v>
      </c>
      <c r="D113" s="1">
        <f t="shared" si="1"/>
        <v>104.8591597</v>
      </c>
      <c r="E113" s="1">
        <f t="shared" si="2"/>
        <v>102.359224</v>
      </c>
      <c r="F113" s="1">
        <f t="shared" si="3"/>
        <v>0.2539254641</v>
      </c>
      <c r="G113" s="12">
        <f t="shared" si="4"/>
        <v>2.529157677</v>
      </c>
      <c r="H113" s="10"/>
    </row>
    <row r="114" ht="15.75" customHeight="1">
      <c r="B114" s="9">
        <v>111.0</v>
      </c>
      <c r="C114" s="1">
        <v>100.459999</v>
      </c>
      <c r="D114" s="1">
        <f t="shared" si="1"/>
        <v>102.6131495</v>
      </c>
      <c r="E114" s="1">
        <f t="shared" si="2"/>
        <v>100.4848766</v>
      </c>
      <c r="F114" s="1">
        <f t="shared" si="3"/>
        <v>0.2311207951</v>
      </c>
      <c r="G114" s="12">
        <f t="shared" si="4"/>
        <v>2.153150507</v>
      </c>
      <c r="H114" s="10"/>
    </row>
    <row r="115" ht="15.75" customHeight="1">
      <c r="B115" s="9">
        <v>112.0</v>
      </c>
      <c r="C115" s="1">
        <v>95.849998</v>
      </c>
      <c r="D115" s="1">
        <f t="shared" si="1"/>
        <v>100.7159974</v>
      </c>
      <c r="E115" s="1">
        <f t="shared" si="2"/>
        <v>95.90622006</v>
      </c>
      <c r="F115" s="1">
        <f t="shared" si="3"/>
        <v>0.1795835218</v>
      </c>
      <c r="G115" s="12">
        <f t="shared" si="4"/>
        <v>4.865999428</v>
      </c>
      <c r="H115" s="10"/>
    </row>
    <row r="116" ht="15.75" customHeight="1">
      <c r="B116" s="9">
        <v>113.0</v>
      </c>
      <c r="C116" s="1">
        <v>96.099998</v>
      </c>
      <c r="D116" s="1">
        <f t="shared" si="1"/>
        <v>96.08580358</v>
      </c>
      <c r="E116" s="1">
        <f t="shared" si="2"/>
        <v>96.099834</v>
      </c>
      <c r="F116" s="1">
        <f t="shared" si="3"/>
        <v>0.1797338593</v>
      </c>
      <c r="G116" s="12">
        <f t="shared" si="4"/>
        <v>-0.01419442247</v>
      </c>
      <c r="H116" s="10"/>
    </row>
    <row r="117" ht="15.75" customHeight="1">
      <c r="B117" s="9">
        <v>114.0</v>
      </c>
      <c r="C117" s="1">
        <v>94.889999</v>
      </c>
      <c r="D117" s="1">
        <f t="shared" si="1"/>
        <v>96.27956786</v>
      </c>
      <c r="E117" s="1">
        <f t="shared" si="2"/>
        <v>94.90605416</v>
      </c>
      <c r="F117" s="1">
        <f t="shared" si="3"/>
        <v>0.1650165148</v>
      </c>
      <c r="G117" s="12">
        <f t="shared" si="4"/>
        <v>1.389568856</v>
      </c>
      <c r="H117" s="10"/>
    </row>
    <row r="118" ht="15.75" customHeight="1">
      <c r="B118" s="9">
        <v>115.0</v>
      </c>
      <c r="C118" s="1">
        <v>91.389999</v>
      </c>
      <c r="D118" s="1">
        <f t="shared" si="1"/>
        <v>95.07107068</v>
      </c>
      <c r="E118" s="1">
        <f t="shared" si="2"/>
        <v>91.43253033</v>
      </c>
      <c r="F118" s="1">
        <f t="shared" si="3"/>
        <v>0.12602917</v>
      </c>
      <c r="G118" s="12">
        <f t="shared" si="4"/>
        <v>3.681071679</v>
      </c>
      <c r="H118" s="10"/>
    </row>
    <row r="119" ht="15.75" customHeight="1">
      <c r="B119" s="9">
        <v>116.0</v>
      </c>
      <c r="C119" s="1">
        <v>86.120003</v>
      </c>
      <c r="D119" s="1">
        <f t="shared" si="1"/>
        <v>91.5585595</v>
      </c>
      <c r="E119" s="1">
        <f t="shared" si="2"/>
        <v>86.18284042</v>
      </c>
      <c r="F119" s="1">
        <f t="shared" si="3"/>
        <v>0.06842777147</v>
      </c>
      <c r="G119" s="12">
        <f t="shared" si="4"/>
        <v>5.438556498</v>
      </c>
      <c r="H119" s="10"/>
    </row>
    <row r="120" ht="15.75" customHeight="1">
      <c r="B120" s="9">
        <v>117.0</v>
      </c>
      <c r="C120" s="1">
        <v>91.480003</v>
      </c>
      <c r="D120" s="1">
        <f t="shared" si="1"/>
        <v>86.25126819</v>
      </c>
      <c r="E120" s="1">
        <f t="shared" si="2"/>
        <v>91.41958988</v>
      </c>
      <c r="F120" s="1">
        <f t="shared" si="3"/>
        <v>0.1238068851</v>
      </c>
      <c r="G120" s="12">
        <f t="shared" si="4"/>
        <v>-5.228734813</v>
      </c>
      <c r="H120" s="10"/>
    </row>
    <row r="121" ht="15.75" customHeight="1">
      <c r="B121" s="9">
        <v>118.0</v>
      </c>
      <c r="C121" s="1">
        <v>87.860001</v>
      </c>
      <c r="D121" s="1">
        <f t="shared" si="1"/>
        <v>91.54339676</v>
      </c>
      <c r="E121" s="1">
        <f t="shared" si="2"/>
        <v>87.90255918</v>
      </c>
      <c r="F121" s="1">
        <f t="shared" si="3"/>
        <v>0.08479492526</v>
      </c>
      <c r="G121" s="12">
        <f t="shared" si="4"/>
        <v>3.683395762</v>
      </c>
      <c r="H121" s="10"/>
    </row>
    <row r="122" ht="15.75" customHeight="1">
      <c r="B122" s="9">
        <v>119.0</v>
      </c>
      <c r="C122" s="1">
        <v>85.209999</v>
      </c>
      <c r="D122" s="1">
        <f t="shared" si="1"/>
        <v>87.98735411</v>
      </c>
      <c r="E122" s="1">
        <f t="shared" si="2"/>
        <v>85.24208873</v>
      </c>
      <c r="F122" s="1">
        <f t="shared" si="3"/>
        <v>0.0553791164</v>
      </c>
      <c r="G122" s="12">
        <f t="shared" si="4"/>
        <v>2.777355106</v>
      </c>
      <c r="H122" s="10"/>
    </row>
    <row r="123" ht="15.75" customHeight="1">
      <c r="B123" s="9">
        <v>120.0</v>
      </c>
      <c r="C123" s="1">
        <v>86.900002</v>
      </c>
      <c r="D123" s="1">
        <f t="shared" si="1"/>
        <v>85.29746785</v>
      </c>
      <c r="E123" s="1">
        <f t="shared" si="2"/>
        <v>86.88148622</v>
      </c>
      <c r="F123" s="1">
        <f t="shared" si="3"/>
        <v>0.07235204083</v>
      </c>
      <c r="G123" s="12">
        <f t="shared" si="4"/>
        <v>-1.602534152</v>
      </c>
      <c r="H123" s="10"/>
    </row>
    <row r="124" ht="15.75" customHeight="1">
      <c r="B124" s="9">
        <v>121.0</v>
      </c>
      <c r="C124" s="1">
        <v>89.029999</v>
      </c>
      <c r="D124" s="1">
        <f t="shared" si="1"/>
        <v>86.95383826</v>
      </c>
      <c r="E124" s="1">
        <f t="shared" si="2"/>
        <v>89.00601091</v>
      </c>
      <c r="F124" s="1">
        <f t="shared" si="3"/>
        <v>0.09434128782</v>
      </c>
      <c r="G124" s="12">
        <f t="shared" si="4"/>
        <v>-2.076160737</v>
      </c>
      <c r="H124" s="10"/>
    </row>
    <row r="125" ht="15.75" customHeight="1">
      <c r="B125" s="9">
        <v>122.0</v>
      </c>
      <c r="C125" s="1">
        <v>91.5</v>
      </c>
      <c r="D125" s="1">
        <f t="shared" si="1"/>
        <v>89.1003522</v>
      </c>
      <c r="E125" s="1">
        <f t="shared" si="2"/>
        <v>91.47227432</v>
      </c>
      <c r="F125" s="1">
        <f t="shared" si="3"/>
        <v>0.1197566843</v>
      </c>
      <c r="G125" s="12">
        <f t="shared" si="4"/>
        <v>-2.399647801</v>
      </c>
      <c r="H125" s="10"/>
    </row>
    <row r="126" ht="15.75" customHeight="1">
      <c r="B126" s="9">
        <v>123.0</v>
      </c>
      <c r="C126" s="1">
        <v>88.120003</v>
      </c>
      <c r="D126" s="1">
        <f t="shared" si="1"/>
        <v>91.59203101</v>
      </c>
      <c r="E126" s="1">
        <f t="shared" si="2"/>
        <v>88.16011902</v>
      </c>
      <c r="F126" s="1">
        <f t="shared" si="3"/>
        <v>0.08298338436</v>
      </c>
      <c r="G126" s="12">
        <f t="shared" si="4"/>
        <v>3.472028006</v>
      </c>
      <c r="H126" s="10"/>
    </row>
    <row r="127" ht="15.75" customHeight="1">
      <c r="B127" s="9">
        <v>124.0</v>
      </c>
      <c r="C127" s="1">
        <v>85.639999</v>
      </c>
      <c r="D127" s="1">
        <f t="shared" si="1"/>
        <v>88.24310241</v>
      </c>
      <c r="E127" s="1">
        <f t="shared" si="2"/>
        <v>85.67007542</v>
      </c>
      <c r="F127" s="1">
        <f t="shared" si="3"/>
        <v>0.05541312798</v>
      </c>
      <c r="G127" s="12">
        <f t="shared" si="4"/>
        <v>2.603103409</v>
      </c>
      <c r="H127" s="10"/>
    </row>
    <row r="128" ht="15.75" customHeight="1">
      <c r="B128" s="9">
        <v>125.0</v>
      </c>
      <c r="C128" s="1">
        <v>87.550003</v>
      </c>
      <c r="D128" s="1">
        <f t="shared" si="1"/>
        <v>85.72548854</v>
      </c>
      <c r="E128" s="1">
        <f t="shared" si="2"/>
        <v>87.52892245</v>
      </c>
      <c r="F128" s="1">
        <f t="shared" si="3"/>
        <v>0.07473711302</v>
      </c>
      <c r="G128" s="12">
        <f t="shared" si="4"/>
        <v>-1.824514456</v>
      </c>
      <c r="H128" s="10"/>
    </row>
    <row r="129" ht="15.75" customHeight="1">
      <c r="B129" s="9">
        <v>126.0</v>
      </c>
      <c r="C129" s="1">
        <v>84.809998</v>
      </c>
      <c r="D129" s="1">
        <f t="shared" si="1"/>
        <v>87.60365956</v>
      </c>
      <c r="E129" s="1">
        <f t="shared" si="2"/>
        <v>84.84227614</v>
      </c>
      <c r="F129" s="1">
        <f t="shared" si="3"/>
        <v>0.04514859755</v>
      </c>
      <c r="G129" s="12">
        <f t="shared" si="4"/>
        <v>2.793661561</v>
      </c>
      <c r="H129" s="10"/>
    </row>
    <row r="130" ht="15.75" customHeight="1">
      <c r="B130" s="9">
        <v>127.0</v>
      </c>
      <c r="C130" s="1">
        <v>83.279999</v>
      </c>
      <c r="D130" s="1">
        <f t="shared" si="1"/>
        <v>84.88742473</v>
      </c>
      <c r="E130" s="1">
        <f t="shared" si="2"/>
        <v>83.2985713</v>
      </c>
      <c r="F130" s="1">
        <f t="shared" si="3"/>
        <v>0.02812386489</v>
      </c>
      <c r="G130" s="12">
        <f t="shared" si="4"/>
        <v>1.607425734</v>
      </c>
      <c r="H130" s="10"/>
    </row>
    <row r="131" ht="15.75" customHeight="1">
      <c r="B131" s="9">
        <v>128.0</v>
      </c>
      <c r="C131" s="1">
        <v>85.940002</v>
      </c>
      <c r="D131" s="1">
        <f t="shared" si="1"/>
        <v>83.32669516</v>
      </c>
      <c r="E131" s="1">
        <f t="shared" si="2"/>
        <v>85.90980769</v>
      </c>
      <c r="F131" s="1">
        <f t="shared" si="3"/>
        <v>0.0558021889</v>
      </c>
      <c r="G131" s="12">
        <f t="shared" si="4"/>
        <v>-2.61330684</v>
      </c>
      <c r="H131" s="10"/>
    </row>
    <row r="132" ht="15.75" customHeight="1">
      <c r="B132" s="9">
        <v>129.0</v>
      </c>
      <c r="C132" s="1">
        <v>86.080002</v>
      </c>
      <c r="D132" s="1">
        <f t="shared" si="1"/>
        <v>85.96560988</v>
      </c>
      <c r="E132" s="1">
        <f t="shared" si="2"/>
        <v>86.07868031</v>
      </c>
      <c r="F132" s="1">
        <f t="shared" si="3"/>
        <v>0.05701375046</v>
      </c>
      <c r="G132" s="12">
        <f t="shared" si="4"/>
        <v>-0.1143921185</v>
      </c>
      <c r="H132" s="10"/>
    </row>
    <row r="133" ht="15.75" customHeight="1">
      <c r="B133" s="9">
        <v>130.0</v>
      </c>
      <c r="C133" s="1">
        <v>85.639999</v>
      </c>
      <c r="D133" s="1">
        <f t="shared" si="1"/>
        <v>86.13569406</v>
      </c>
      <c r="E133" s="1">
        <f t="shared" si="2"/>
        <v>85.64572629</v>
      </c>
      <c r="F133" s="1">
        <f t="shared" si="3"/>
        <v>0.05176369402</v>
      </c>
      <c r="G133" s="12">
        <f t="shared" si="4"/>
        <v>0.4956950569</v>
      </c>
      <c r="H133" s="10"/>
    </row>
    <row r="134" ht="15.75" customHeight="1">
      <c r="B134" s="9">
        <v>131.0</v>
      </c>
      <c r="C134" s="1">
        <v>84.5</v>
      </c>
      <c r="D134" s="1">
        <f t="shared" si="1"/>
        <v>85.69748999</v>
      </c>
      <c r="E134" s="1">
        <f t="shared" si="2"/>
        <v>84.51383587</v>
      </c>
      <c r="F134" s="1">
        <f t="shared" si="3"/>
        <v>0.03908071501</v>
      </c>
      <c r="G134" s="12">
        <f t="shared" si="4"/>
        <v>1.197489985</v>
      </c>
      <c r="H134" s="10"/>
    </row>
    <row r="135" ht="15.75" customHeight="1">
      <c r="B135" s="9">
        <v>132.0</v>
      </c>
      <c r="C135" s="1">
        <v>84.839996</v>
      </c>
      <c r="D135" s="1">
        <f t="shared" si="1"/>
        <v>84.55291659</v>
      </c>
      <c r="E135" s="1">
        <f t="shared" si="2"/>
        <v>84.83667907</v>
      </c>
      <c r="F135" s="1">
        <f t="shared" si="3"/>
        <v>0.04212125999</v>
      </c>
      <c r="G135" s="12">
        <f t="shared" si="4"/>
        <v>-0.2870794123</v>
      </c>
      <c r="H135" s="10"/>
    </row>
    <row r="136" ht="15.75" customHeight="1">
      <c r="B136" s="9">
        <v>133.0</v>
      </c>
      <c r="C136" s="1">
        <v>83.139999</v>
      </c>
      <c r="D136" s="1">
        <f t="shared" si="1"/>
        <v>84.87880033</v>
      </c>
      <c r="E136" s="1">
        <f t="shared" si="2"/>
        <v>83.16008922</v>
      </c>
      <c r="F136" s="1">
        <f t="shared" si="3"/>
        <v>0.02370508866</v>
      </c>
      <c r="G136" s="12">
        <f t="shared" si="4"/>
        <v>1.738801327</v>
      </c>
      <c r="H136" s="10"/>
    </row>
    <row r="137" ht="15.75" customHeight="1">
      <c r="B137" s="9">
        <v>134.0</v>
      </c>
      <c r="C137" s="1">
        <v>84.540001</v>
      </c>
      <c r="D137" s="1">
        <f t="shared" si="1"/>
        <v>83.18379431</v>
      </c>
      <c r="E137" s="1">
        <f t="shared" si="2"/>
        <v>84.5243313</v>
      </c>
      <c r="F137" s="1">
        <f t="shared" si="3"/>
        <v>0.03806908439</v>
      </c>
      <c r="G137" s="12">
        <f t="shared" si="4"/>
        <v>-1.356206694</v>
      </c>
      <c r="H137" s="10"/>
    </row>
    <row r="138" ht="15.75" customHeight="1">
      <c r="B138" s="9">
        <v>135.0</v>
      </c>
      <c r="C138" s="1">
        <v>86.099998</v>
      </c>
      <c r="D138" s="1">
        <f t="shared" si="1"/>
        <v>84.56240039</v>
      </c>
      <c r="E138" s="1">
        <f t="shared" si="2"/>
        <v>86.0822325</v>
      </c>
      <c r="F138" s="1">
        <f t="shared" si="3"/>
        <v>0.05435424625</v>
      </c>
      <c r="G138" s="12">
        <f t="shared" si="4"/>
        <v>-1.537597611</v>
      </c>
      <c r="H138" s="10"/>
    </row>
    <row r="139" ht="15.75" customHeight="1">
      <c r="B139" s="9">
        <v>136.0</v>
      </c>
      <c r="C139" s="1">
        <v>88.269997</v>
      </c>
      <c r="D139" s="1">
        <f t="shared" si="1"/>
        <v>86.13658675</v>
      </c>
      <c r="E139" s="1">
        <f t="shared" si="2"/>
        <v>88.24534745</v>
      </c>
      <c r="F139" s="1">
        <f t="shared" si="3"/>
        <v>0.07694984018</v>
      </c>
      <c r="G139" s="12">
        <f t="shared" si="4"/>
        <v>-2.133410251</v>
      </c>
      <c r="H139" s="10"/>
    </row>
    <row r="140" ht="15.75" customHeight="1">
      <c r="B140" s="9">
        <v>137.0</v>
      </c>
      <c r="C140" s="1">
        <v>89.239998</v>
      </c>
      <c r="D140" s="1">
        <f t="shared" si="1"/>
        <v>88.32229729</v>
      </c>
      <c r="E140" s="1">
        <f t="shared" si="2"/>
        <v>89.22939483</v>
      </c>
      <c r="F140" s="1">
        <f t="shared" si="3"/>
        <v>0.08666948629</v>
      </c>
      <c r="G140" s="12">
        <f t="shared" si="4"/>
        <v>-0.9177007126</v>
      </c>
      <c r="H140" s="10"/>
    </row>
    <row r="141" ht="15.75" customHeight="1">
      <c r="B141" s="9">
        <v>138.0</v>
      </c>
      <c r="C141" s="1">
        <v>87.75</v>
      </c>
      <c r="D141" s="1">
        <f t="shared" si="1"/>
        <v>89.31606432</v>
      </c>
      <c r="E141" s="1">
        <f t="shared" si="2"/>
        <v>87.7680944</v>
      </c>
      <c r="F141" s="1">
        <f t="shared" si="3"/>
        <v>0.07008282494</v>
      </c>
      <c r="G141" s="12">
        <f t="shared" si="4"/>
        <v>1.566064316</v>
      </c>
      <c r="H141" s="10"/>
    </row>
    <row r="142" ht="15.75" customHeight="1">
      <c r="B142" s="9">
        <v>139.0</v>
      </c>
      <c r="C142" s="1">
        <v>87.080002</v>
      </c>
      <c r="D142" s="1">
        <f t="shared" si="1"/>
        <v>87.83817723</v>
      </c>
      <c r="E142" s="1">
        <f t="shared" si="2"/>
        <v>87.088762</v>
      </c>
      <c r="F142" s="1">
        <f t="shared" si="3"/>
        <v>0.06205276154</v>
      </c>
      <c r="G142" s="12">
        <f t="shared" si="4"/>
        <v>0.7581752281</v>
      </c>
      <c r="H142" s="10"/>
    </row>
    <row r="143" ht="15.75" customHeight="1">
      <c r="B143" s="9">
        <v>140.0</v>
      </c>
      <c r="C143" s="1">
        <v>89.980003</v>
      </c>
      <c r="D143" s="1">
        <f t="shared" si="1"/>
        <v>87.15081476</v>
      </c>
      <c r="E143" s="1">
        <f t="shared" si="2"/>
        <v>89.94731439</v>
      </c>
      <c r="F143" s="1">
        <f t="shared" si="3"/>
        <v>0.09201755077</v>
      </c>
      <c r="G143" s="12">
        <f t="shared" si="4"/>
        <v>-2.829188235</v>
      </c>
      <c r="H143" s="10"/>
    </row>
    <row r="144" ht="15.75" customHeight="1">
      <c r="B144" s="9">
        <v>141.0</v>
      </c>
      <c r="C144" s="1">
        <v>89.629997</v>
      </c>
      <c r="D144" s="1">
        <f t="shared" si="1"/>
        <v>90.03933194</v>
      </c>
      <c r="E144" s="1">
        <f t="shared" si="2"/>
        <v>89.63472648</v>
      </c>
      <c r="F144" s="1">
        <f t="shared" si="3"/>
        <v>0.08768216052</v>
      </c>
      <c r="G144" s="12">
        <f t="shared" si="4"/>
        <v>0.4093349365</v>
      </c>
      <c r="H144" s="10"/>
    </row>
    <row r="145" ht="15.75" customHeight="1">
      <c r="B145" s="9">
        <v>142.0</v>
      </c>
      <c r="C145" s="1">
        <v>91.57</v>
      </c>
      <c r="D145" s="1">
        <f t="shared" si="1"/>
        <v>89.72240864</v>
      </c>
      <c r="E145" s="1">
        <f t="shared" si="2"/>
        <v>91.54865282</v>
      </c>
      <c r="F145" s="1">
        <f t="shared" si="3"/>
        <v>0.10725056</v>
      </c>
      <c r="G145" s="12">
        <f t="shared" si="4"/>
        <v>-1.847591359</v>
      </c>
      <c r="H145" s="10"/>
    </row>
    <row r="146" ht="15.75" customHeight="1">
      <c r="B146" s="9">
        <v>143.0</v>
      </c>
      <c r="C146" s="1">
        <v>92.639999</v>
      </c>
      <c r="D146" s="1">
        <f t="shared" si="1"/>
        <v>91.65590338</v>
      </c>
      <c r="E146" s="1">
        <f t="shared" si="2"/>
        <v>92.6286287</v>
      </c>
      <c r="F146" s="1">
        <f t="shared" si="3"/>
        <v>0.1176734147</v>
      </c>
      <c r="G146" s="12">
        <f t="shared" si="4"/>
        <v>-0.9840956238</v>
      </c>
      <c r="H146" s="10"/>
    </row>
    <row r="147" ht="15.75" customHeight="1">
      <c r="B147" s="9">
        <v>144.0</v>
      </c>
      <c r="C147" s="1">
        <v>96.93</v>
      </c>
      <c r="D147" s="1">
        <f t="shared" si="1"/>
        <v>92.74630211</v>
      </c>
      <c r="E147" s="1">
        <f t="shared" si="2"/>
        <v>96.8816613</v>
      </c>
      <c r="F147" s="1">
        <f t="shared" si="3"/>
        <v>0.1619842258</v>
      </c>
      <c r="G147" s="12">
        <f t="shared" si="4"/>
        <v>-4.183697886</v>
      </c>
      <c r="H147" s="10"/>
    </row>
    <row r="148" ht="15.75" customHeight="1">
      <c r="B148" s="9">
        <v>145.0</v>
      </c>
      <c r="C148" s="1">
        <v>94.480003</v>
      </c>
      <c r="D148" s="1">
        <f t="shared" si="1"/>
        <v>97.04364552</v>
      </c>
      <c r="E148" s="1">
        <f t="shared" si="2"/>
        <v>94.50962348</v>
      </c>
      <c r="F148" s="1">
        <f t="shared" si="3"/>
        <v>0.1348319116</v>
      </c>
      <c r="G148" s="12">
        <f t="shared" si="4"/>
        <v>2.563642524</v>
      </c>
      <c r="H148" s="10"/>
    </row>
    <row r="149" ht="15.75" customHeight="1">
      <c r="B149" s="9">
        <v>146.0</v>
      </c>
      <c r="C149" s="1">
        <v>94.07</v>
      </c>
      <c r="D149" s="1">
        <f t="shared" si="1"/>
        <v>94.64445539</v>
      </c>
      <c r="E149" s="1">
        <f t="shared" si="2"/>
        <v>94.07663729</v>
      </c>
      <c r="F149" s="1">
        <f t="shared" si="3"/>
        <v>0.1287476806</v>
      </c>
      <c r="G149" s="12">
        <f t="shared" si="4"/>
        <v>0.5744553945</v>
      </c>
      <c r="H149" s="10"/>
    </row>
    <row r="150" ht="15.75" customHeight="1">
      <c r="B150" s="9">
        <v>147.0</v>
      </c>
      <c r="C150" s="1">
        <v>91.019997</v>
      </c>
      <c r="D150" s="1">
        <f t="shared" si="1"/>
        <v>94.20538497</v>
      </c>
      <c r="E150" s="1">
        <f t="shared" si="2"/>
        <v>91.05680117</v>
      </c>
      <c r="F150" s="1">
        <f t="shared" si="3"/>
        <v>0.09501027208</v>
      </c>
      <c r="G150" s="12">
        <f t="shared" si="4"/>
        <v>3.185387973</v>
      </c>
      <c r="H150" s="10"/>
    </row>
    <row r="151" ht="15.75" customHeight="1">
      <c r="B151" s="9">
        <v>148.0</v>
      </c>
      <c r="C151" s="1">
        <v>87.190002</v>
      </c>
      <c r="D151" s="1">
        <f t="shared" si="1"/>
        <v>91.15181144</v>
      </c>
      <c r="E151" s="1">
        <f t="shared" si="2"/>
        <v>87.23577699</v>
      </c>
      <c r="F151" s="1">
        <f t="shared" si="3"/>
        <v>0.05304954873</v>
      </c>
      <c r="G151" s="12">
        <f t="shared" si="4"/>
        <v>3.96180944</v>
      </c>
      <c r="H151" s="10"/>
    </row>
    <row r="152" ht="15.75" customHeight="1">
      <c r="B152" s="9">
        <v>149.0</v>
      </c>
      <c r="C152" s="1">
        <v>88.449997</v>
      </c>
      <c r="D152" s="1">
        <f t="shared" si="1"/>
        <v>87.28882654</v>
      </c>
      <c r="E152" s="1">
        <f t="shared" si="2"/>
        <v>88.43658077</v>
      </c>
      <c r="F152" s="1">
        <f t="shared" si="3"/>
        <v>0.06534785668</v>
      </c>
      <c r="G152" s="12">
        <f t="shared" si="4"/>
        <v>-1.161170462</v>
      </c>
      <c r="H152" s="10"/>
    </row>
    <row r="153" ht="15.75" customHeight="1">
      <c r="B153" s="9">
        <v>150.0</v>
      </c>
      <c r="C153" s="1">
        <v>88.949997</v>
      </c>
      <c r="D153" s="1">
        <f t="shared" si="1"/>
        <v>88.50192862</v>
      </c>
      <c r="E153" s="1">
        <f t="shared" si="2"/>
        <v>88.94481999</v>
      </c>
      <c r="F153" s="1">
        <f t="shared" si="3"/>
        <v>0.07009348454</v>
      </c>
      <c r="G153" s="12">
        <f t="shared" si="4"/>
        <v>-0.448068378</v>
      </c>
      <c r="H153" s="10"/>
    </row>
    <row r="154" ht="15.75" customHeight="1">
      <c r="B154" s="9">
        <v>151.0</v>
      </c>
      <c r="C154" s="1">
        <v>90.589996</v>
      </c>
      <c r="D154" s="1">
        <f t="shared" si="1"/>
        <v>89.01491348</v>
      </c>
      <c r="E154" s="1">
        <f t="shared" si="2"/>
        <v>90.5717974</v>
      </c>
      <c r="F154" s="1">
        <f t="shared" si="3"/>
        <v>0.08677566047</v>
      </c>
      <c r="G154" s="12">
        <f t="shared" si="4"/>
        <v>-1.575082525</v>
      </c>
      <c r="H154" s="10"/>
    </row>
    <row r="155" ht="15.75" customHeight="1">
      <c r="B155" s="9">
        <v>152.0</v>
      </c>
      <c r="C155" s="1">
        <v>91.449997</v>
      </c>
      <c r="D155" s="1">
        <f t="shared" si="1"/>
        <v>90.65857306</v>
      </c>
      <c r="E155" s="1">
        <f t="shared" si="2"/>
        <v>91.44085284</v>
      </c>
      <c r="F155" s="1">
        <f t="shared" si="3"/>
        <v>0.09515787104</v>
      </c>
      <c r="G155" s="12">
        <f t="shared" si="4"/>
        <v>-0.7914239396</v>
      </c>
      <c r="H155" s="10"/>
    </row>
    <row r="156" ht="15.75" customHeight="1">
      <c r="B156" s="9">
        <v>153.0</v>
      </c>
      <c r="C156" s="1">
        <v>93.190002</v>
      </c>
      <c r="D156" s="1">
        <f t="shared" si="1"/>
        <v>91.53601071</v>
      </c>
      <c r="E156" s="1">
        <f t="shared" si="2"/>
        <v>93.17089168</v>
      </c>
      <c r="F156" s="1">
        <f t="shared" si="3"/>
        <v>0.1126757936</v>
      </c>
      <c r="G156" s="12">
        <f t="shared" si="4"/>
        <v>-1.65399129</v>
      </c>
      <c r="H156" s="10"/>
    </row>
    <row r="157" ht="15.75" customHeight="1">
      <c r="B157" s="9">
        <v>154.0</v>
      </c>
      <c r="C157" s="1">
        <v>94.0</v>
      </c>
      <c r="D157" s="1">
        <f t="shared" si="1"/>
        <v>93.28356748</v>
      </c>
      <c r="E157" s="1">
        <f t="shared" si="2"/>
        <v>93.99172229</v>
      </c>
      <c r="F157" s="1">
        <f t="shared" si="3"/>
        <v>0.1202637474</v>
      </c>
      <c r="G157" s="12">
        <f t="shared" si="4"/>
        <v>-0.7164325232</v>
      </c>
      <c r="H157" s="10"/>
    </row>
    <row r="158" ht="15.75" customHeight="1">
      <c r="B158" s="9">
        <v>155.0</v>
      </c>
      <c r="C158" s="1">
        <v>92.32</v>
      </c>
      <c r="D158" s="1">
        <f t="shared" si="1"/>
        <v>94.11198604</v>
      </c>
      <c r="E158" s="1">
        <f t="shared" si="2"/>
        <v>92.34070472</v>
      </c>
      <c r="F158" s="1">
        <f t="shared" si="3"/>
        <v>0.1012842806</v>
      </c>
      <c r="G158" s="12">
        <f t="shared" si="4"/>
        <v>1.791986042</v>
      </c>
      <c r="H158" s="10"/>
    </row>
    <row r="159" ht="15.75" customHeight="1">
      <c r="B159" s="9">
        <v>156.0</v>
      </c>
      <c r="C159" s="1">
        <v>91.459999</v>
      </c>
      <c r="D159" s="1">
        <f t="shared" si="1"/>
        <v>92.441989</v>
      </c>
      <c r="E159" s="1">
        <f t="shared" si="2"/>
        <v>91.47134497</v>
      </c>
      <c r="F159" s="1">
        <f t="shared" si="3"/>
        <v>0.09088372722</v>
      </c>
      <c r="G159" s="12">
        <f t="shared" si="4"/>
        <v>0.9819899972</v>
      </c>
      <c r="H159" s="10"/>
    </row>
    <row r="160" ht="15.75" customHeight="1">
      <c r="B160" s="9">
        <v>157.0</v>
      </c>
      <c r="C160" s="1">
        <v>92.199997</v>
      </c>
      <c r="D160" s="1">
        <f t="shared" si="1"/>
        <v>91.5622287</v>
      </c>
      <c r="E160" s="1">
        <f t="shared" si="2"/>
        <v>92.19262819</v>
      </c>
      <c r="F160" s="1">
        <f t="shared" si="3"/>
        <v>0.09763852439</v>
      </c>
      <c r="G160" s="12">
        <f t="shared" si="4"/>
        <v>-0.6377683002</v>
      </c>
      <c r="H160" s="10"/>
    </row>
    <row r="161" ht="15.75" customHeight="1">
      <c r="B161" s="9">
        <v>158.0</v>
      </c>
      <c r="C161" s="1">
        <v>94.379997</v>
      </c>
      <c r="D161" s="1">
        <f t="shared" si="1"/>
        <v>92.29026671</v>
      </c>
      <c r="E161" s="1">
        <f t="shared" si="2"/>
        <v>94.35585213</v>
      </c>
      <c r="F161" s="1">
        <f t="shared" si="3"/>
        <v>0.1197714906</v>
      </c>
      <c r="G161" s="12">
        <f t="shared" si="4"/>
        <v>-2.08973029</v>
      </c>
      <c r="H161" s="10"/>
    </row>
    <row r="162" ht="15.75" customHeight="1">
      <c r="B162" s="9">
        <v>159.0</v>
      </c>
      <c r="C162" s="1">
        <v>94.080002</v>
      </c>
      <c r="D162" s="1">
        <f t="shared" si="1"/>
        <v>94.47562362</v>
      </c>
      <c r="E162" s="1">
        <f t="shared" si="2"/>
        <v>94.08457304</v>
      </c>
      <c r="F162" s="1">
        <f t="shared" si="3"/>
        <v>0.1155813423</v>
      </c>
      <c r="G162" s="12">
        <f t="shared" si="4"/>
        <v>0.3956216188</v>
      </c>
      <c r="H162" s="10"/>
    </row>
    <row r="163" ht="15.75" customHeight="1">
      <c r="B163" s="9">
        <v>160.0</v>
      </c>
      <c r="C163" s="1">
        <v>94.010002</v>
      </c>
      <c r="D163" s="1">
        <f t="shared" si="1"/>
        <v>94.20015438</v>
      </c>
      <c r="E163" s="1">
        <f t="shared" si="2"/>
        <v>94.01219903</v>
      </c>
      <c r="F163" s="1">
        <f t="shared" si="3"/>
        <v>0.1135673809</v>
      </c>
      <c r="G163" s="12">
        <f t="shared" si="4"/>
        <v>0.1901523787</v>
      </c>
      <c r="H163" s="10"/>
    </row>
    <row r="164" ht="15.75" customHeight="1">
      <c r="B164" s="9">
        <v>161.0</v>
      </c>
      <c r="C164" s="1">
        <v>98.0</v>
      </c>
      <c r="D164" s="1">
        <f t="shared" si="1"/>
        <v>94.12576641</v>
      </c>
      <c r="E164" s="1">
        <f t="shared" si="2"/>
        <v>97.95523687</v>
      </c>
      <c r="F164" s="1">
        <f t="shared" si="3"/>
        <v>0.1546005618</v>
      </c>
      <c r="G164" s="12">
        <f t="shared" si="4"/>
        <v>-3.874233587</v>
      </c>
      <c r="H164" s="10"/>
    </row>
    <row r="165" ht="15.75" customHeight="1">
      <c r="B165" s="9">
        <v>162.0</v>
      </c>
      <c r="C165" s="1">
        <v>98.580002</v>
      </c>
      <c r="D165" s="1">
        <f t="shared" si="1"/>
        <v>98.10983743</v>
      </c>
      <c r="E165" s="1">
        <f t="shared" si="2"/>
        <v>98.57456969</v>
      </c>
      <c r="F165" s="1">
        <f t="shared" si="3"/>
        <v>0.1595802172</v>
      </c>
      <c r="G165" s="12">
        <f t="shared" si="4"/>
        <v>-0.4701645705</v>
      </c>
      <c r="H165" s="10"/>
    </row>
    <row r="166" ht="15.75" customHeight="1">
      <c r="B166" s="9">
        <v>163.0</v>
      </c>
      <c r="C166" s="1">
        <v>99.089996</v>
      </c>
      <c r="D166" s="1">
        <f t="shared" si="1"/>
        <v>98.73414991</v>
      </c>
      <c r="E166" s="1">
        <f t="shared" si="2"/>
        <v>99.08588453</v>
      </c>
      <c r="F166" s="1">
        <f t="shared" si="3"/>
        <v>0.1633490909</v>
      </c>
      <c r="G166" s="12">
        <f t="shared" si="4"/>
        <v>-0.3558460931</v>
      </c>
      <c r="H166" s="10"/>
    </row>
    <row r="167" ht="15.75" customHeight="1">
      <c r="B167" s="9">
        <v>164.0</v>
      </c>
      <c r="C167" s="1">
        <v>97.870003</v>
      </c>
      <c r="D167" s="1">
        <f t="shared" si="1"/>
        <v>99.24923362</v>
      </c>
      <c r="E167" s="1">
        <f t="shared" si="2"/>
        <v>97.88593872</v>
      </c>
      <c r="F167" s="1">
        <f t="shared" si="3"/>
        <v>0.1487412417</v>
      </c>
      <c r="G167" s="12">
        <f t="shared" si="4"/>
        <v>1.379230623</v>
      </c>
      <c r="H167" s="10"/>
    </row>
    <row r="168" ht="15.75" customHeight="1">
      <c r="B168" s="9">
        <v>165.0</v>
      </c>
      <c r="C168" s="1">
        <v>100.120003</v>
      </c>
      <c r="D168" s="1">
        <f t="shared" si="1"/>
        <v>98.03467996</v>
      </c>
      <c r="E168" s="1">
        <f t="shared" si="2"/>
        <v>100.095909</v>
      </c>
      <c r="F168" s="1">
        <f t="shared" si="3"/>
        <v>0.1708275295</v>
      </c>
      <c r="G168" s="12">
        <f t="shared" si="4"/>
        <v>-2.085323043</v>
      </c>
      <c r="H168" s="10"/>
    </row>
    <row r="169" ht="15.75" customHeight="1">
      <c r="B169" s="9">
        <v>166.0</v>
      </c>
      <c r="C169" s="1">
        <v>96.309998</v>
      </c>
      <c r="D169" s="1">
        <f t="shared" si="1"/>
        <v>100.2667366</v>
      </c>
      <c r="E169" s="1">
        <f t="shared" si="2"/>
        <v>96.3557144</v>
      </c>
      <c r="F169" s="1">
        <f t="shared" si="3"/>
        <v>0.1289205132</v>
      </c>
      <c r="G169" s="12">
        <f t="shared" si="4"/>
        <v>3.956738579</v>
      </c>
      <c r="H169" s="10"/>
    </row>
    <row r="170" ht="15.75" customHeight="1">
      <c r="B170" s="9">
        <v>167.0</v>
      </c>
      <c r="C170" s="1">
        <v>95.589996</v>
      </c>
      <c r="D170" s="1">
        <f t="shared" si="1"/>
        <v>96.48463491</v>
      </c>
      <c r="E170" s="1">
        <f t="shared" si="2"/>
        <v>95.60033271</v>
      </c>
      <c r="F170" s="1">
        <f t="shared" si="3"/>
        <v>0.1194451215</v>
      </c>
      <c r="G170" s="12">
        <f t="shared" si="4"/>
        <v>0.8946389133</v>
      </c>
      <c r="H170" s="10"/>
    </row>
    <row r="171" ht="15.75" customHeight="1">
      <c r="B171" s="9">
        <v>168.0</v>
      </c>
      <c r="C171" s="1">
        <v>93.870003</v>
      </c>
      <c r="D171" s="1">
        <f t="shared" si="1"/>
        <v>95.71977783</v>
      </c>
      <c r="E171" s="1">
        <f t="shared" si="2"/>
        <v>93.89137541</v>
      </c>
      <c r="F171" s="1">
        <f t="shared" si="3"/>
        <v>0.09985359619</v>
      </c>
      <c r="G171" s="12">
        <f t="shared" si="4"/>
        <v>1.849774834</v>
      </c>
      <c r="H171" s="10"/>
    </row>
    <row r="172" ht="15.75" customHeight="1">
      <c r="B172" s="9">
        <v>169.0</v>
      </c>
      <c r="C172" s="1">
        <v>95.589996</v>
      </c>
      <c r="D172" s="1">
        <f t="shared" si="1"/>
        <v>93.99122901</v>
      </c>
      <c r="E172" s="1">
        <f t="shared" si="2"/>
        <v>95.57152375</v>
      </c>
      <c r="F172" s="1">
        <f t="shared" si="3"/>
        <v>0.1167866215</v>
      </c>
      <c r="G172" s="12">
        <f t="shared" si="4"/>
        <v>-1.598766992</v>
      </c>
      <c r="H172" s="10"/>
    </row>
    <row r="173" ht="15.75" customHeight="1">
      <c r="B173" s="9">
        <v>170.0</v>
      </c>
      <c r="C173" s="1">
        <v>94.949997</v>
      </c>
      <c r="D173" s="1">
        <f t="shared" si="1"/>
        <v>95.68831037</v>
      </c>
      <c r="E173" s="1">
        <f t="shared" si="2"/>
        <v>94.95852752</v>
      </c>
      <c r="F173" s="1">
        <f t="shared" si="3"/>
        <v>0.108966921</v>
      </c>
      <c r="G173" s="12">
        <f t="shared" si="4"/>
        <v>0.7383133696</v>
      </c>
      <c r="H173" s="10"/>
    </row>
    <row r="174" ht="15.75" customHeight="1">
      <c r="B174" s="9">
        <v>171.0</v>
      </c>
      <c r="C174" s="1">
        <v>94.139999</v>
      </c>
      <c r="D174" s="1">
        <f t="shared" si="1"/>
        <v>95.06749444</v>
      </c>
      <c r="E174" s="1">
        <f t="shared" si="2"/>
        <v>94.15071534</v>
      </c>
      <c r="F174" s="1">
        <f t="shared" si="3"/>
        <v>0.09914353601</v>
      </c>
      <c r="G174" s="12">
        <f t="shared" si="4"/>
        <v>0.927495439</v>
      </c>
      <c r="H174" s="10"/>
    </row>
    <row r="175" ht="15.75" customHeight="1">
      <c r="B175" s="9">
        <v>172.0</v>
      </c>
      <c r="C175" s="1">
        <v>94.910004</v>
      </c>
      <c r="D175" s="1">
        <f t="shared" si="1"/>
        <v>94.24985888</v>
      </c>
      <c r="E175" s="1">
        <f t="shared" si="2"/>
        <v>94.90237664</v>
      </c>
      <c r="F175" s="1">
        <f t="shared" si="3"/>
        <v>0.1061353329</v>
      </c>
      <c r="G175" s="12">
        <f t="shared" si="4"/>
        <v>-0.6601451248</v>
      </c>
      <c r="H175" s="10"/>
    </row>
    <row r="176" ht="15.75" customHeight="1">
      <c r="B176" s="9">
        <v>173.0</v>
      </c>
      <c r="C176" s="1">
        <v>96.5</v>
      </c>
      <c r="D176" s="1">
        <f t="shared" si="1"/>
        <v>95.00851198</v>
      </c>
      <c r="E176" s="1">
        <f t="shared" si="2"/>
        <v>96.48276726</v>
      </c>
      <c r="F176" s="1">
        <f t="shared" si="3"/>
        <v>0.1219321342</v>
      </c>
      <c r="G176" s="12">
        <f t="shared" si="4"/>
        <v>-1.491488024</v>
      </c>
      <c r="H176" s="10"/>
    </row>
    <row r="177" ht="15.75" customHeight="1">
      <c r="B177" s="9">
        <v>174.0</v>
      </c>
      <c r="C177" s="1">
        <v>97.610001</v>
      </c>
      <c r="D177" s="1">
        <f t="shared" si="1"/>
        <v>96.60469939</v>
      </c>
      <c r="E177" s="1">
        <f t="shared" si="2"/>
        <v>97.59838568</v>
      </c>
      <c r="F177" s="1">
        <f t="shared" si="3"/>
        <v>0.1325795879</v>
      </c>
      <c r="G177" s="12">
        <f t="shared" si="4"/>
        <v>-1.00530161</v>
      </c>
      <c r="H177" s="10"/>
    </row>
    <row r="178" ht="15.75" customHeight="1">
      <c r="B178" s="9">
        <v>175.0</v>
      </c>
      <c r="C178" s="1">
        <v>95.330002</v>
      </c>
      <c r="D178" s="1">
        <f t="shared" si="1"/>
        <v>97.73096527</v>
      </c>
      <c r="E178" s="1">
        <f t="shared" si="2"/>
        <v>95.35774288</v>
      </c>
      <c r="F178" s="1">
        <f t="shared" si="3"/>
        <v>0.1071502589</v>
      </c>
      <c r="G178" s="12">
        <f t="shared" si="4"/>
        <v>2.400963271</v>
      </c>
      <c r="H178" s="10"/>
    </row>
    <row r="179" ht="15.75" customHeight="1">
      <c r="B179" s="9">
        <v>176.0</v>
      </c>
      <c r="C179" s="1">
        <v>97.669998</v>
      </c>
      <c r="D179" s="1">
        <f t="shared" si="1"/>
        <v>95.46489314</v>
      </c>
      <c r="E179" s="1">
        <f t="shared" si="2"/>
        <v>97.64452008</v>
      </c>
      <c r="F179" s="1">
        <f t="shared" si="3"/>
        <v>0.1305051922</v>
      </c>
      <c r="G179" s="12">
        <f t="shared" si="4"/>
        <v>-2.205104864</v>
      </c>
      <c r="H179" s="10"/>
    </row>
    <row r="180" ht="15.75" customHeight="1">
      <c r="B180" s="9">
        <v>177.0</v>
      </c>
      <c r="C180" s="1">
        <v>94.830002</v>
      </c>
      <c r="D180" s="1">
        <f t="shared" si="1"/>
        <v>97.77502528</v>
      </c>
      <c r="E180" s="1">
        <f t="shared" si="2"/>
        <v>94.86402898</v>
      </c>
      <c r="F180" s="1">
        <f t="shared" si="3"/>
        <v>0.099313559</v>
      </c>
      <c r="G180" s="12">
        <f t="shared" si="4"/>
        <v>2.945023275</v>
      </c>
      <c r="H180" s="10"/>
    </row>
    <row r="181" ht="15.75" customHeight="1">
      <c r="B181" s="9">
        <v>178.0</v>
      </c>
      <c r="C181" s="1">
        <v>93.209999</v>
      </c>
      <c r="D181" s="1">
        <f t="shared" si="1"/>
        <v>94.96334254</v>
      </c>
      <c r="E181" s="1">
        <f t="shared" si="2"/>
        <v>93.23025724</v>
      </c>
      <c r="F181" s="1">
        <f t="shared" si="3"/>
        <v>0.0807433667</v>
      </c>
      <c r="G181" s="12">
        <f t="shared" si="4"/>
        <v>1.753343538</v>
      </c>
      <c r="H181" s="10"/>
    </row>
    <row r="182" ht="15.75" customHeight="1">
      <c r="B182" s="9">
        <v>179.0</v>
      </c>
      <c r="C182" s="1">
        <v>93.199997</v>
      </c>
      <c r="D182" s="1">
        <f t="shared" si="1"/>
        <v>93.31100061</v>
      </c>
      <c r="E182" s="1">
        <f t="shared" si="2"/>
        <v>93.20127954</v>
      </c>
      <c r="F182" s="1">
        <f t="shared" si="3"/>
        <v>0.07956769391</v>
      </c>
      <c r="G182" s="12">
        <f t="shared" si="4"/>
        <v>0.1110036054</v>
      </c>
      <c r="H182" s="10"/>
    </row>
    <row r="183" ht="15.75" customHeight="1">
      <c r="B183" s="9">
        <v>180.0</v>
      </c>
      <c r="C183" s="1">
        <v>92.440002</v>
      </c>
      <c r="D183" s="1">
        <f t="shared" si="1"/>
        <v>93.28084724</v>
      </c>
      <c r="E183" s="1">
        <f t="shared" si="2"/>
        <v>92.44971718</v>
      </c>
      <c r="F183" s="1">
        <f t="shared" si="3"/>
        <v>0.07066204742</v>
      </c>
      <c r="G183" s="12">
        <f t="shared" si="4"/>
        <v>0.8408452364</v>
      </c>
      <c r="H183" s="10"/>
    </row>
    <row r="184" ht="15.75" customHeight="1">
      <c r="B184" s="9">
        <v>181.0</v>
      </c>
      <c r="C184" s="1">
        <v>90.949997</v>
      </c>
      <c r="D184" s="1">
        <f t="shared" si="1"/>
        <v>92.52037922</v>
      </c>
      <c r="E184" s="1">
        <f t="shared" si="2"/>
        <v>90.96814129</v>
      </c>
      <c r="F184" s="1">
        <f t="shared" si="3"/>
        <v>0.05402965379</v>
      </c>
      <c r="G184" s="12">
        <f t="shared" si="4"/>
        <v>1.570382225</v>
      </c>
      <c r="H184" s="10"/>
    </row>
    <row r="185" ht="15.75" customHeight="1">
      <c r="B185" s="9">
        <v>182.0</v>
      </c>
      <c r="C185" s="1">
        <v>90.57</v>
      </c>
      <c r="D185" s="1">
        <f t="shared" si="1"/>
        <v>91.02217095</v>
      </c>
      <c r="E185" s="1">
        <f t="shared" si="2"/>
        <v>90.57522441</v>
      </c>
      <c r="F185" s="1">
        <f t="shared" si="3"/>
        <v>0.04924057439</v>
      </c>
      <c r="G185" s="12">
        <f t="shared" si="4"/>
        <v>0.4521709463</v>
      </c>
      <c r="H185" s="10"/>
    </row>
    <row r="186" ht="15.75" customHeight="1">
      <c r="B186" s="9">
        <v>183.0</v>
      </c>
      <c r="C186" s="1">
        <v>85.75</v>
      </c>
      <c r="D186" s="1">
        <f t="shared" si="1"/>
        <v>90.62446499</v>
      </c>
      <c r="E186" s="1">
        <f t="shared" si="2"/>
        <v>85.80631987</v>
      </c>
      <c r="F186" s="1">
        <f t="shared" si="3"/>
        <v>-0.002386360182</v>
      </c>
      <c r="G186" s="12">
        <f t="shared" si="4"/>
        <v>4.874464985</v>
      </c>
      <c r="H186" s="10"/>
    </row>
    <row r="187" ht="15.75" customHeight="1">
      <c r="B187" s="9">
        <v>184.0</v>
      </c>
      <c r="C187" s="1">
        <v>83.980003</v>
      </c>
      <c r="D187" s="1">
        <f t="shared" si="1"/>
        <v>85.80393351</v>
      </c>
      <c r="E187" s="1">
        <f t="shared" si="2"/>
        <v>84.0010768</v>
      </c>
      <c r="F187" s="1">
        <f t="shared" si="3"/>
        <v>-0.02170416044</v>
      </c>
      <c r="G187" s="12">
        <f t="shared" si="4"/>
        <v>1.823930507</v>
      </c>
      <c r="H187" s="10"/>
    </row>
    <row r="188" ht="15.75" customHeight="1">
      <c r="B188" s="9">
        <v>185.0</v>
      </c>
      <c r="C188" s="1">
        <v>85.739998</v>
      </c>
      <c r="D188" s="1">
        <f t="shared" si="1"/>
        <v>83.97937264</v>
      </c>
      <c r="E188" s="1">
        <f t="shared" si="2"/>
        <v>85.71965563</v>
      </c>
      <c r="F188" s="1">
        <f t="shared" si="3"/>
        <v>-0.003056844209</v>
      </c>
      <c r="G188" s="12">
        <f t="shared" si="4"/>
        <v>-1.760625356</v>
      </c>
      <c r="H188" s="10"/>
    </row>
    <row r="189" ht="15.75" customHeight="1">
      <c r="B189" s="9">
        <v>186.0</v>
      </c>
      <c r="C189" s="1">
        <v>88.860001</v>
      </c>
      <c r="D189" s="1">
        <f t="shared" si="1"/>
        <v>85.71659878</v>
      </c>
      <c r="E189" s="1">
        <f t="shared" si="2"/>
        <v>88.82368194</v>
      </c>
      <c r="F189" s="1">
        <f t="shared" si="3"/>
        <v>0.03023588045</v>
      </c>
      <c r="G189" s="12">
        <f t="shared" si="4"/>
        <v>-3.143402218</v>
      </c>
      <c r="H189" s="10"/>
    </row>
    <row r="190" ht="15.75" customHeight="1">
      <c r="B190" s="9">
        <v>187.0</v>
      </c>
      <c r="C190" s="1">
        <v>88.68</v>
      </c>
      <c r="D190" s="1">
        <f t="shared" si="1"/>
        <v>88.85391782</v>
      </c>
      <c r="E190" s="1">
        <f t="shared" si="2"/>
        <v>88.68200946</v>
      </c>
      <c r="F190" s="1">
        <f t="shared" si="3"/>
        <v>0.02839386417</v>
      </c>
      <c r="G190" s="12">
        <f t="shared" si="4"/>
        <v>0.1739178185</v>
      </c>
      <c r="H190" s="10"/>
    </row>
    <row r="191" ht="15.75" customHeight="1">
      <c r="B191" s="9">
        <v>188.0</v>
      </c>
      <c r="C191" s="1">
        <v>87.309998</v>
      </c>
      <c r="D191" s="1">
        <f t="shared" si="1"/>
        <v>88.71040332</v>
      </c>
      <c r="E191" s="1">
        <f t="shared" si="2"/>
        <v>87.32617837</v>
      </c>
      <c r="F191" s="1">
        <f t="shared" si="3"/>
        <v>0.01356174739</v>
      </c>
      <c r="G191" s="12">
        <f t="shared" si="4"/>
        <v>1.400405321</v>
      </c>
      <c r="H191" s="10"/>
    </row>
    <row r="192" ht="15.75" customHeight="1">
      <c r="B192" s="9">
        <v>189.0</v>
      </c>
      <c r="C192" s="1">
        <v>91.919998</v>
      </c>
      <c r="D192" s="1">
        <f t="shared" si="1"/>
        <v>87.33974012</v>
      </c>
      <c r="E192" s="1">
        <f t="shared" si="2"/>
        <v>91.86707742</v>
      </c>
      <c r="F192" s="1">
        <f t="shared" si="3"/>
        <v>0.06207264547</v>
      </c>
      <c r="G192" s="12">
        <f t="shared" si="4"/>
        <v>-4.580257884</v>
      </c>
      <c r="H192" s="10"/>
    </row>
    <row r="193" ht="15.75" customHeight="1">
      <c r="B193" s="9">
        <v>190.0</v>
      </c>
      <c r="C193" s="1">
        <v>95.269997</v>
      </c>
      <c r="D193" s="1">
        <f t="shared" si="1"/>
        <v>91.92915007</v>
      </c>
      <c r="E193" s="1">
        <f t="shared" si="2"/>
        <v>95.23139665</v>
      </c>
      <c r="F193" s="1">
        <f t="shared" si="3"/>
        <v>0.09745656691</v>
      </c>
      <c r="G193" s="12">
        <f t="shared" si="4"/>
        <v>-3.340846935</v>
      </c>
      <c r="H193" s="10"/>
    </row>
    <row r="194" ht="15.75" customHeight="1">
      <c r="B194" s="9">
        <v>191.0</v>
      </c>
      <c r="C194" s="1">
        <v>99.120003</v>
      </c>
      <c r="D194" s="1">
        <f t="shared" si="1"/>
        <v>95.32885322</v>
      </c>
      <c r="E194" s="1">
        <f t="shared" si="2"/>
        <v>99.07619982</v>
      </c>
      <c r="F194" s="1">
        <f t="shared" si="3"/>
        <v>0.1376097822</v>
      </c>
      <c r="G194" s="12">
        <f t="shared" si="4"/>
        <v>-3.791149783</v>
      </c>
      <c r="H194" s="10"/>
    </row>
    <row r="195" ht="15.75" customHeight="1">
      <c r="B195" s="9">
        <v>192.0</v>
      </c>
      <c r="C195" s="1">
        <v>102.059998</v>
      </c>
      <c r="D195" s="1">
        <f t="shared" si="1"/>
        <v>99.21380961</v>
      </c>
      <c r="E195" s="1">
        <f t="shared" si="2"/>
        <v>102.027113</v>
      </c>
      <c r="F195" s="1">
        <f t="shared" si="3"/>
        <v>0.1677546252</v>
      </c>
      <c r="G195" s="12">
        <f t="shared" si="4"/>
        <v>-2.846188395</v>
      </c>
      <c r="H195" s="10"/>
    </row>
    <row r="196" ht="15.75" customHeight="1">
      <c r="B196" s="9">
        <v>193.0</v>
      </c>
      <c r="C196" s="1">
        <v>101.029999</v>
      </c>
      <c r="D196" s="1">
        <f t="shared" si="1"/>
        <v>102.1948676</v>
      </c>
      <c r="E196" s="1">
        <f t="shared" si="2"/>
        <v>101.043458</v>
      </c>
      <c r="F196" s="1">
        <f t="shared" si="3"/>
        <v>0.1554171493</v>
      </c>
      <c r="G196" s="12">
        <f t="shared" si="4"/>
        <v>1.16486859</v>
      </c>
      <c r="H196" s="10"/>
    </row>
    <row r="197" ht="15.75" customHeight="1">
      <c r="B197" s="9">
        <v>194.0</v>
      </c>
      <c r="C197" s="1">
        <v>98.839996</v>
      </c>
      <c r="D197" s="1">
        <f t="shared" si="1"/>
        <v>101.1988751</v>
      </c>
      <c r="E197" s="1">
        <f t="shared" si="2"/>
        <v>98.86725063</v>
      </c>
      <c r="F197" s="1">
        <f t="shared" si="3"/>
        <v>0.1304335464</v>
      </c>
      <c r="G197" s="12">
        <f t="shared" si="4"/>
        <v>2.358879112</v>
      </c>
      <c r="H197" s="10"/>
    </row>
    <row r="198" ht="15.75" customHeight="1">
      <c r="B198" s="9">
        <v>195.0</v>
      </c>
      <c r="C198" s="1">
        <v>98.0</v>
      </c>
      <c r="D198" s="1">
        <f t="shared" si="1"/>
        <v>98.99768418</v>
      </c>
      <c r="E198" s="1">
        <f t="shared" si="2"/>
        <v>98.0115273</v>
      </c>
      <c r="F198" s="1">
        <f t="shared" si="3"/>
        <v>0.1198667711</v>
      </c>
      <c r="G198" s="12">
        <f t="shared" si="4"/>
        <v>0.9976841803</v>
      </c>
      <c r="H198" s="10"/>
    </row>
    <row r="199" ht="15.75" customHeight="1">
      <c r="B199" s="9">
        <v>196.0</v>
      </c>
      <c r="C199" s="1">
        <v>98.43</v>
      </c>
      <c r="D199" s="1">
        <f t="shared" si="1"/>
        <v>98.13139408</v>
      </c>
      <c r="E199" s="1">
        <f t="shared" si="2"/>
        <v>98.42654989</v>
      </c>
      <c r="F199" s="1">
        <f t="shared" si="3"/>
        <v>0.1230293969</v>
      </c>
      <c r="G199" s="12">
        <f t="shared" si="4"/>
        <v>-0.2986059247</v>
      </c>
      <c r="H199" s="10"/>
    </row>
    <row r="200" ht="15.75" customHeight="1">
      <c r="B200" s="9">
        <v>197.0</v>
      </c>
      <c r="C200" s="1">
        <v>101.870003</v>
      </c>
      <c r="D200" s="1">
        <f t="shared" si="1"/>
        <v>98.54957929</v>
      </c>
      <c r="E200" s="1">
        <f t="shared" si="2"/>
        <v>101.8316386</v>
      </c>
      <c r="F200" s="1">
        <f t="shared" si="3"/>
        <v>0.1581970098</v>
      </c>
      <c r="G200" s="12">
        <f t="shared" si="4"/>
        <v>-3.320423714</v>
      </c>
      <c r="H200" s="10"/>
    </row>
    <row r="201" ht="15.75" customHeight="1">
      <c r="B201" s="9">
        <v>198.0</v>
      </c>
      <c r="C201" s="1">
        <v>99.190002</v>
      </c>
      <c r="D201" s="1">
        <f t="shared" si="1"/>
        <v>101.9898356</v>
      </c>
      <c r="E201" s="1">
        <f t="shared" si="2"/>
        <v>99.22235145</v>
      </c>
      <c r="F201" s="1">
        <f t="shared" si="3"/>
        <v>0.1285431241</v>
      </c>
      <c r="G201" s="12">
        <f t="shared" si="4"/>
        <v>2.799833631</v>
      </c>
      <c r="H201" s="10"/>
    </row>
    <row r="202" ht="15.75" customHeight="1">
      <c r="B202" s="9">
        <v>199.0</v>
      </c>
      <c r="C202" s="1">
        <v>100.620003</v>
      </c>
      <c r="D202" s="1">
        <f t="shared" si="1"/>
        <v>99.35089457</v>
      </c>
      <c r="E202" s="1">
        <f t="shared" si="2"/>
        <v>100.6053396</v>
      </c>
      <c r="F202" s="1">
        <f t="shared" si="3"/>
        <v>0.1419846357</v>
      </c>
      <c r="G202" s="12">
        <f t="shared" si="4"/>
        <v>-1.269108426</v>
      </c>
      <c r="H202" s="10"/>
    </row>
    <row r="203" ht="15.75" customHeight="1">
      <c r="B203" s="9">
        <v>200.0</v>
      </c>
      <c r="C203" s="1">
        <v>100.800003</v>
      </c>
      <c r="D203" s="1">
        <f t="shared" si="1"/>
        <v>100.7473243</v>
      </c>
      <c r="E203" s="1">
        <f t="shared" si="2"/>
        <v>100.7993943</v>
      </c>
      <c r="F203" s="1">
        <f t="shared" si="3"/>
        <v>0.142542572</v>
      </c>
      <c r="G203" s="12">
        <f t="shared" si="4"/>
        <v>-0.05267872084</v>
      </c>
      <c r="H203" s="10"/>
    </row>
    <row r="204" ht="15.75" customHeight="1">
      <c r="B204" s="9">
        <v>201.0</v>
      </c>
      <c r="C204" s="1">
        <v>103.790001</v>
      </c>
      <c r="D204" s="1">
        <f t="shared" si="1"/>
        <v>100.9419369</v>
      </c>
      <c r="E204" s="1">
        <f t="shared" si="2"/>
        <v>103.7570943</v>
      </c>
      <c r="F204" s="1">
        <f t="shared" si="3"/>
        <v>0.172707281</v>
      </c>
      <c r="G204" s="12">
        <f t="shared" si="4"/>
        <v>-2.848064081</v>
      </c>
      <c r="H204" s="10"/>
    </row>
    <row r="205" ht="15.75" customHeight="1">
      <c r="B205" s="9">
        <v>202.0</v>
      </c>
      <c r="C205" s="1">
        <v>103.93</v>
      </c>
      <c r="D205" s="1">
        <f t="shared" si="1"/>
        <v>103.9298016</v>
      </c>
      <c r="E205" s="1">
        <f t="shared" si="2"/>
        <v>103.9299977</v>
      </c>
      <c r="F205" s="1">
        <f t="shared" si="3"/>
        <v>0.1727093826</v>
      </c>
      <c r="G205" s="12">
        <f t="shared" si="4"/>
        <v>-0.0001984259589</v>
      </c>
      <c r="H205" s="10"/>
    </row>
    <row r="206" ht="15.75" customHeight="1">
      <c r="B206" s="9">
        <v>203.0</v>
      </c>
      <c r="C206" s="1">
        <v>105.860001</v>
      </c>
      <c r="D206" s="1">
        <f t="shared" si="1"/>
        <v>104.1027071</v>
      </c>
      <c r="E206" s="1">
        <f t="shared" si="2"/>
        <v>105.8396971</v>
      </c>
      <c r="F206" s="1">
        <f t="shared" si="3"/>
        <v>0.1913214145</v>
      </c>
      <c r="G206" s="12">
        <f t="shared" si="4"/>
        <v>-1.75729391</v>
      </c>
      <c r="H206" s="10"/>
    </row>
    <row r="207" ht="15.75" customHeight="1">
      <c r="B207" s="9">
        <v>204.0</v>
      </c>
      <c r="C207" s="1">
        <v>106.599998</v>
      </c>
      <c r="D207" s="1">
        <f t="shared" si="1"/>
        <v>106.0310185</v>
      </c>
      <c r="E207" s="1">
        <f t="shared" si="2"/>
        <v>106.593424</v>
      </c>
      <c r="F207" s="1">
        <f t="shared" si="3"/>
        <v>0.1973476483</v>
      </c>
      <c r="G207" s="12">
        <f t="shared" si="4"/>
        <v>-0.5689794671</v>
      </c>
      <c r="H207" s="10"/>
    </row>
    <row r="208" ht="15.75" customHeight="1">
      <c r="B208" s="9">
        <v>205.0</v>
      </c>
      <c r="C208" s="1">
        <v>105.879997</v>
      </c>
      <c r="D208" s="1">
        <f t="shared" si="1"/>
        <v>106.7907716</v>
      </c>
      <c r="E208" s="1">
        <f t="shared" si="2"/>
        <v>105.8905201</v>
      </c>
      <c r="F208" s="1">
        <f t="shared" si="3"/>
        <v>0.1877013585</v>
      </c>
      <c r="G208" s="12">
        <f t="shared" si="4"/>
        <v>0.9107746247</v>
      </c>
      <c r="H208" s="10"/>
    </row>
    <row r="209" ht="15.75" customHeight="1">
      <c r="B209" s="9">
        <v>206.0</v>
      </c>
      <c r="C209" s="1">
        <v>107.139999</v>
      </c>
      <c r="D209" s="1">
        <f t="shared" si="1"/>
        <v>106.0782215</v>
      </c>
      <c r="E209" s="1">
        <f t="shared" si="2"/>
        <v>107.1277312</v>
      </c>
      <c r="F209" s="1">
        <f t="shared" si="3"/>
        <v>0.1989469654</v>
      </c>
      <c r="G209" s="12">
        <f t="shared" si="4"/>
        <v>-1.061777496</v>
      </c>
      <c r="H209" s="10"/>
    </row>
    <row r="210" ht="15.75" customHeight="1">
      <c r="B210" s="9">
        <v>207.0</v>
      </c>
      <c r="C210" s="1">
        <v>107.550003</v>
      </c>
      <c r="D210" s="1">
        <f t="shared" si="1"/>
        <v>107.3266781</v>
      </c>
      <c r="E210" s="1">
        <f t="shared" si="2"/>
        <v>107.5474227</v>
      </c>
      <c r="F210" s="1">
        <f t="shared" si="3"/>
        <v>0.2013122668</v>
      </c>
      <c r="G210" s="12">
        <f t="shared" si="4"/>
        <v>-0.2233248768</v>
      </c>
      <c r="H210" s="10"/>
    </row>
    <row r="211" ht="15.75" customHeight="1">
      <c r="B211" s="9">
        <v>208.0</v>
      </c>
      <c r="C211" s="1">
        <v>110.699997</v>
      </c>
      <c r="D211" s="1">
        <f t="shared" si="1"/>
        <v>107.748735</v>
      </c>
      <c r="E211" s="1">
        <f t="shared" si="2"/>
        <v>110.6658979</v>
      </c>
      <c r="F211" s="1">
        <f t="shared" si="3"/>
        <v>0.2325699767</v>
      </c>
      <c r="G211" s="12">
        <f t="shared" si="4"/>
        <v>-2.951262042</v>
      </c>
      <c r="H211" s="10"/>
    </row>
    <row r="212" ht="15.75" customHeight="1">
      <c r="B212" s="9">
        <v>209.0</v>
      </c>
      <c r="C212" s="1">
        <v>110.809998</v>
      </c>
      <c r="D212" s="1">
        <f t="shared" si="1"/>
        <v>110.8984679</v>
      </c>
      <c r="E212" s="1">
        <f t="shared" si="2"/>
        <v>110.8110202</v>
      </c>
      <c r="F212" s="1">
        <f t="shared" si="3"/>
        <v>0.2316329651</v>
      </c>
      <c r="G212" s="12">
        <f t="shared" si="4"/>
        <v>0.08846991416</v>
      </c>
      <c r="H212" s="10"/>
    </row>
    <row r="213" ht="15.75" customHeight="1">
      <c r="B213" s="9">
        <v>210.0</v>
      </c>
      <c r="C213" s="1">
        <v>111.910004</v>
      </c>
      <c r="D213" s="1">
        <f t="shared" si="1"/>
        <v>111.0426532</v>
      </c>
      <c r="E213" s="1">
        <f t="shared" si="2"/>
        <v>111.8999826</v>
      </c>
      <c r="F213" s="1">
        <f t="shared" si="3"/>
        <v>0.2408193405</v>
      </c>
      <c r="G213" s="12">
        <f t="shared" si="4"/>
        <v>-0.8673508481</v>
      </c>
      <c r="H213" s="10"/>
    </row>
    <row r="214" ht="15.75" customHeight="1">
      <c r="B214" s="9">
        <v>211.0</v>
      </c>
      <c r="C214" s="1">
        <v>109.610001</v>
      </c>
      <c r="D214" s="1">
        <f t="shared" si="1"/>
        <v>112.1408019</v>
      </c>
      <c r="E214" s="1">
        <f t="shared" si="2"/>
        <v>109.639242</v>
      </c>
      <c r="F214" s="1">
        <f t="shared" si="3"/>
        <v>0.2140148617</v>
      </c>
      <c r="G214" s="12">
        <f t="shared" si="4"/>
        <v>2.530800916</v>
      </c>
      <c r="H214" s="10"/>
    </row>
    <row r="215" ht="15.75" customHeight="1">
      <c r="B215" s="9">
        <v>212.0</v>
      </c>
      <c r="C215" s="1">
        <v>111.099998</v>
      </c>
      <c r="D215" s="1">
        <f t="shared" si="1"/>
        <v>109.8532569</v>
      </c>
      <c r="E215" s="1">
        <f t="shared" si="2"/>
        <v>111.0855931</v>
      </c>
      <c r="F215" s="1">
        <f t="shared" si="3"/>
        <v>0.2272194743</v>
      </c>
      <c r="G215" s="12">
        <f t="shared" si="4"/>
        <v>-1.246741109</v>
      </c>
      <c r="H215" s="10"/>
    </row>
    <row r="216" ht="15.75" customHeight="1">
      <c r="B216" s="9">
        <v>213.0</v>
      </c>
      <c r="C216" s="1">
        <v>112.309998</v>
      </c>
      <c r="D216" s="1">
        <f t="shared" si="1"/>
        <v>111.3128126</v>
      </c>
      <c r="E216" s="1">
        <f t="shared" si="2"/>
        <v>112.2984765</v>
      </c>
      <c r="F216" s="1">
        <f t="shared" si="3"/>
        <v>0.2377809673</v>
      </c>
      <c r="G216" s="12">
        <f t="shared" si="4"/>
        <v>-0.9971854489</v>
      </c>
      <c r="H216" s="10"/>
    </row>
    <row r="217" ht="15.75" customHeight="1">
      <c r="B217" s="9">
        <v>214.0</v>
      </c>
      <c r="C217" s="1">
        <v>113.639999</v>
      </c>
      <c r="D217" s="1">
        <f t="shared" si="1"/>
        <v>112.5362574</v>
      </c>
      <c r="E217" s="1">
        <f t="shared" si="2"/>
        <v>113.6272463</v>
      </c>
      <c r="F217" s="1">
        <f t="shared" si="3"/>
        <v>0.2494710286</v>
      </c>
      <c r="G217" s="12">
        <f t="shared" si="4"/>
        <v>-1.103741574</v>
      </c>
      <c r="H217" s="10"/>
    </row>
    <row r="218" ht="15.75" customHeight="1">
      <c r="B218" s="9">
        <v>215.0</v>
      </c>
      <c r="C218" s="1">
        <v>114.0</v>
      </c>
      <c r="D218" s="1">
        <f t="shared" si="1"/>
        <v>113.8767173</v>
      </c>
      <c r="E218" s="1">
        <f t="shared" si="2"/>
        <v>113.9985756</v>
      </c>
      <c r="F218" s="1">
        <f t="shared" si="3"/>
        <v>0.2507767526</v>
      </c>
      <c r="G218" s="12">
        <f t="shared" si="4"/>
        <v>-0.1232826693</v>
      </c>
      <c r="H218" s="10"/>
    </row>
    <row r="219" ht="15.75" customHeight="1">
      <c r="B219" s="9">
        <v>216.0</v>
      </c>
      <c r="C219" s="1">
        <v>108.900002</v>
      </c>
      <c r="D219" s="1">
        <f t="shared" si="1"/>
        <v>114.2493523</v>
      </c>
      <c r="E219" s="1">
        <f t="shared" si="2"/>
        <v>108.9618087</v>
      </c>
      <c r="F219" s="1">
        <f t="shared" si="3"/>
        <v>0.1941201635</v>
      </c>
      <c r="G219" s="12">
        <f t="shared" si="4"/>
        <v>5.349350337</v>
      </c>
      <c r="H219" s="10"/>
    </row>
    <row r="220" ht="15.75" customHeight="1">
      <c r="B220" s="9">
        <v>217.0</v>
      </c>
      <c r="C220" s="1">
        <v>110.5</v>
      </c>
      <c r="D220" s="1">
        <f t="shared" si="1"/>
        <v>109.1559289</v>
      </c>
      <c r="E220" s="1">
        <f t="shared" si="2"/>
        <v>110.4844705</v>
      </c>
      <c r="F220" s="1">
        <f t="shared" si="3"/>
        <v>0.2083556277</v>
      </c>
      <c r="G220" s="12">
        <f t="shared" si="4"/>
        <v>-1.344071115</v>
      </c>
      <c r="H220" s="10"/>
    </row>
    <row r="221" ht="15.75" customHeight="1">
      <c r="B221" s="9">
        <v>218.0</v>
      </c>
      <c r="C221" s="1">
        <v>113.949997</v>
      </c>
      <c r="D221" s="1">
        <f t="shared" si="1"/>
        <v>110.6928261</v>
      </c>
      <c r="E221" s="1">
        <f t="shared" si="2"/>
        <v>113.9123634</v>
      </c>
      <c r="F221" s="1">
        <f t="shared" si="3"/>
        <v>0.2428533104</v>
      </c>
      <c r="G221" s="12">
        <f t="shared" si="4"/>
        <v>-3.257170852</v>
      </c>
      <c r="H221" s="10"/>
    </row>
    <row r="222" ht="15.75" customHeight="1">
      <c r="B222" s="9">
        <v>219.0</v>
      </c>
      <c r="C222" s="1">
        <v>113.370003</v>
      </c>
      <c r="D222" s="1">
        <f t="shared" si="1"/>
        <v>114.1552168</v>
      </c>
      <c r="E222" s="1">
        <f t="shared" si="2"/>
        <v>113.3790754</v>
      </c>
      <c r="F222" s="1">
        <f t="shared" si="3"/>
        <v>0.2345368737</v>
      </c>
      <c r="G222" s="12">
        <f t="shared" si="4"/>
        <v>0.7852137587</v>
      </c>
      <c r="H222" s="10"/>
    </row>
    <row r="223" ht="15.75" customHeight="1">
      <c r="B223" s="9">
        <v>220.0</v>
      </c>
      <c r="C223" s="1">
        <v>114.129997</v>
      </c>
      <c r="D223" s="1">
        <f t="shared" si="1"/>
        <v>113.6136123</v>
      </c>
      <c r="E223" s="1">
        <f t="shared" si="2"/>
        <v>114.1240307</v>
      </c>
      <c r="F223" s="1">
        <f t="shared" si="3"/>
        <v>0.2400060606</v>
      </c>
      <c r="G223" s="12">
        <f t="shared" si="4"/>
        <v>-0.5163847184</v>
      </c>
      <c r="H223" s="10"/>
    </row>
    <row r="224" ht="15.75" customHeight="1">
      <c r="B224" s="9">
        <v>221.0</v>
      </c>
      <c r="C224" s="1">
        <v>112.910004</v>
      </c>
      <c r="D224" s="1">
        <f t="shared" si="1"/>
        <v>114.3640367</v>
      </c>
      <c r="E224" s="1">
        <f t="shared" si="2"/>
        <v>112.926804</v>
      </c>
      <c r="F224" s="1">
        <f t="shared" si="3"/>
        <v>0.2246059598</v>
      </c>
      <c r="G224" s="12">
        <f t="shared" si="4"/>
        <v>1.45403272</v>
      </c>
      <c r="H224" s="10"/>
    </row>
    <row r="225" ht="15.75" customHeight="1">
      <c r="B225" s="9">
        <v>222.0</v>
      </c>
      <c r="C225" s="1">
        <v>113.059998</v>
      </c>
      <c r="D225" s="1">
        <f t="shared" si="1"/>
        <v>113.1514099</v>
      </c>
      <c r="E225" s="1">
        <f t="shared" si="2"/>
        <v>113.0610542</v>
      </c>
      <c r="F225" s="1">
        <f t="shared" si="3"/>
        <v>0.2236377882</v>
      </c>
      <c r="G225" s="12">
        <f t="shared" si="4"/>
        <v>0.091411943</v>
      </c>
      <c r="H225" s="10"/>
    </row>
    <row r="226" ht="15.75" customHeight="1">
      <c r="B226" s="9">
        <v>223.0</v>
      </c>
      <c r="C226" s="1">
        <v>112.080002</v>
      </c>
      <c r="D226" s="1">
        <f t="shared" si="1"/>
        <v>113.284692</v>
      </c>
      <c r="E226" s="1">
        <f t="shared" si="2"/>
        <v>112.0939211</v>
      </c>
      <c r="F226" s="1">
        <f t="shared" si="3"/>
        <v>0.210878552</v>
      </c>
      <c r="G226" s="12">
        <f t="shared" si="4"/>
        <v>1.204689967</v>
      </c>
      <c r="H226" s="10"/>
    </row>
    <row r="227" ht="15.75" customHeight="1">
      <c r="B227" s="9">
        <v>224.0</v>
      </c>
      <c r="C227" s="1">
        <v>110.970001</v>
      </c>
      <c r="D227" s="1">
        <f t="shared" si="1"/>
        <v>112.3047996</v>
      </c>
      <c r="E227" s="1">
        <f t="shared" si="2"/>
        <v>110.9854233</v>
      </c>
      <c r="F227" s="1">
        <f t="shared" si="3"/>
        <v>0.1967412958</v>
      </c>
      <c r="G227" s="12">
        <f t="shared" si="4"/>
        <v>1.334798614</v>
      </c>
      <c r="H227" s="10"/>
    </row>
    <row r="228" ht="15.75" customHeight="1">
      <c r="B228" s="9">
        <v>225.0</v>
      </c>
      <c r="C228" s="1">
        <v>114.18</v>
      </c>
      <c r="D228" s="1">
        <f t="shared" si="1"/>
        <v>111.1821646</v>
      </c>
      <c r="E228" s="1">
        <f t="shared" si="2"/>
        <v>114.1453628</v>
      </c>
      <c r="F228" s="1">
        <f t="shared" si="3"/>
        <v>0.2284922778</v>
      </c>
      <c r="G228" s="12">
        <f t="shared" si="4"/>
        <v>-2.997835359</v>
      </c>
      <c r="H228" s="10"/>
    </row>
    <row r="229" ht="15.75" customHeight="1">
      <c r="B229" s="9">
        <v>226.0</v>
      </c>
      <c r="C229" s="1">
        <v>113.610001</v>
      </c>
      <c r="D229" s="1">
        <f t="shared" si="1"/>
        <v>114.3738551</v>
      </c>
      <c r="E229" s="1">
        <f t="shared" si="2"/>
        <v>113.6188266</v>
      </c>
      <c r="F229" s="1">
        <f t="shared" si="3"/>
        <v>0.2204020677</v>
      </c>
      <c r="G229" s="12">
        <f t="shared" si="4"/>
        <v>0.7638541042</v>
      </c>
      <c r="H229" s="10"/>
    </row>
    <row r="230" ht="15.75" customHeight="1">
      <c r="B230" s="9">
        <v>227.0</v>
      </c>
      <c r="C230" s="1">
        <v>113.209999</v>
      </c>
      <c r="D230" s="1">
        <f t="shared" si="1"/>
        <v>113.8392287</v>
      </c>
      <c r="E230" s="1">
        <f t="shared" si="2"/>
        <v>113.2172692</v>
      </c>
      <c r="F230" s="1">
        <f t="shared" si="3"/>
        <v>0.2137377055</v>
      </c>
      <c r="G230" s="12">
        <f t="shared" si="4"/>
        <v>0.6292296848</v>
      </c>
      <c r="H230" s="10"/>
    </row>
    <row r="231" ht="15.75" customHeight="1">
      <c r="B231" s="9">
        <v>228.0</v>
      </c>
      <c r="C231" s="1">
        <v>109.809998</v>
      </c>
      <c r="D231" s="1">
        <f t="shared" si="1"/>
        <v>113.4310069</v>
      </c>
      <c r="E231" s="1">
        <f t="shared" si="2"/>
        <v>109.8518354</v>
      </c>
      <c r="F231" s="1">
        <f t="shared" si="3"/>
        <v>0.1753865043</v>
      </c>
      <c r="G231" s="12">
        <f t="shared" si="4"/>
        <v>3.621008864</v>
      </c>
      <c r="H231" s="10"/>
    </row>
    <row r="232" ht="15.75" customHeight="1">
      <c r="B232" s="9">
        <v>229.0</v>
      </c>
      <c r="C232" s="1">
        <v>110.540001</v>
      </c>
      <c r="D232" s="1">
        <f t="shared" si="1"/>
        <v>110.0272219</v>
      </c>
      <c r="E232" s="1">
        <f t="shared" si="2"/>
        <v>110.5340763</v>
      </c>
      <c r="F232" s="1">
        <f t="shared" si="3"/>
        <v>0.1808175034</v>
      </c>
      <c r="G232" s="12">
        <f t="shared" si="4"/>
        <v>-0.5127791373</v>
      </c>
      <c r="H232" s="10"/>
    </row>
    <row r="233" ht="15.75" customHeight="1">
      <c r="B233" s="9">
        <v>230.0</v>
      </c>
      <c r="C233" s="1">
        <v>111.339996</v>
      </c>
      <c r="D233" s="1">
        <f t="shared" si="1"/>
        <v>110.7148938</v>
      </c>
      <c r="E233" s="1">
        <f t="shared" si="2"/>
        <v>111.3327735</v>
      </c>
      <c r="F233" s="1">
        <f t="shared" si="3"/>
        <v>0.1874381498</v>
      </c>
      <c r="G233" s="12">
        <f t="shared" si="4"/>
        <v>-0.6251021782</v>
      </c>
      <c r="H233" s="10"/>
    </row>
    <row r="234" ht="15.75" customHeight="1">
      <c r="B234" s="9">
        <v>231.0</v>
      </c>
      <c r="C234" s="1">
        <v>110.800003</v>
      </c>
      <c r="D234" s="1">
        <f t="shared" si="1"/>
        <v>111.5202117</v>
      </c>
      <c r="E234" s="1">
        <f t="shared" si="2"/>
        <v>110.8083243</v>
      </c>
      <c r="F234" s="1">
        <f t="shared" si="3"/>
        <v>0.1798102016</v>
      </c>
      <c r="G234" s="12">
        <f t="shared" si="4"/>
        <v>0.7202086809</v>
      </c>
      <c r="H234" s="10"/>
    </row>
    <row r="235" ht="15.75" customHeight="1">
      <c r="B235" s="9">
        <v>232.0</v>
      </c>
      <c r="C235" s="1">
        <v>109.860001</v>
      </c>
      <c r="D235" s="1">
        <f t="shared" si="1"/>
        <v>110.9881345</v>
      </c>
      <c r="E235" s="1">
        <f t="shared" si="2"/>
        <v>109.8730355</v>
      </c>
      <c r="F235" s="1">
        <f t="shared" si="3"/>
        <v>0.1678617977</v>
      </c>
      <c r="G235" s="12">
        <f t="shared" si="4"/>
        <v>1.128133537</v>
      </c>
      <c r="H235" s="10"/>
    </row>
    <row r="236" ht="15.75" customHeight="1">
      <c r="B236" s="9">
        <v>233.0</v>
      </c>
      <c r="C236" s="1">
        <v>106.849998</v>
      </c>
      <c r="D236" s="1">
        <f t="shared" si="1"/>
        <v>110.0408973</v>
      </c>
      <c r="E236" s="1">
        <f t="shared" si="2"/>
        <v>106.8868658</v>
      </c>
      <c r="F236" s="1">
        <f t="shared" si="3"/>
        <v>0.1340660169</v>
      </c>
      <c r="G236" s="12">
        <f t="shared" si="4"/>
        <v>3.190899322</v>
      </c>
      <c r="H236" s="10"/>
    </row>
    <row r="237" ht="15.75" customHeight="1">
      <c r="B237" s="9">
        <v>234.0</v>
      </c>
      <c r="C237" s="1">
        <v>103.879997</v>
      </c>
      <c r="D237" s="1">
        <f t="shared" si="1"/>
        <v>107.0209319</v>
      </c>
      <c r="E237" s="1">
        <f t="shared" si="2"/>
        <v>103.9162876</v>
      </c>
      <c r="F237" s="1">
        <f t="shared" si="3"/>
        <v>0.1007994247</v>
      </c>
      <c r="G237" s="12">
        <f t="shared" si="4"/>
        <v>3.140934863</v>
      </c>
      <c r="H237" s="10"/>
    </row>
    <row r="238" ht="15.75" customHeight="1">
      <c r="B238" s="9">
        <v>235.0</v>
      </c>
      <c r="C238" s="1">
        <v>103.650002</v>
      </c>
      <c r="D238" s="1">
        <f t="shared" si="1"/>
        <v>104.017087</v>
      </c>
      <c r="E238" s="1">
        <f t="shared" si="2"/>
        <v>103.6542433</v>
      </c>
      <c r="F238" s="1">
        <f t="shared" si="3"/>
        <v>0.09691151656</v>
      </c>
      <c r="G238" s="12">
        <f t="shared" si="4"/>
        <v>0.3670849787</v>
      </c>
      <c r="H238" s="10"/>
    </row>
    <row r="239" ht="15.75" customHeight="1">
      <c r="B239" s="9">
        <v>236.0</v>
      </c>
      <c r="C239" s="1">
        <v>104.419998</v>
      </c>
      <c r="D239" s="1">
        <f t="shared" si="1"/>
        <v>103.7511548</v>
      </c>
      <c r="E239" s="1">
        <f t="shared" si="2"/>
        <v>104.4122701</v>
      </c>
      <c r="F239" s="1">
        <f t="shared" si="3"/>
        <v>0.103995437</v>
      </c>
      <c r="G239" s="12">
        <f t="shared" si="4"/>
        <v>-0.6688431611</v>
      </c>
      <c r="H239" s="10"/>
    </row>
    <row r="240" ht="15.75" customHeight="1">
      <c r="B240" s="9">
        <v>237.0</v>
      </c>
      <c r="C240" s="1">
        <v>103.540001</v>
      </c>
      <c r="D240" s="1">
        <f t="shared" si="1"/>
        <v>104.5162656</v>
      </c>
      <c r="E240" s="1">
        <f t="shared" si="2"/>
        <v>103.5512808</v>
      </c>
      <c r="F240" s="1">
        <f t="shared" si="3"/>
        <v>0.09365552321</v>
      </c>
      <c r="G240" s="12">
        <f t="shared" si="4"/>
        <v>0.9762645821</v>
      </c>
      <c r="H240" s="10"/>
    </row>
    <row r="241" ht="15.75" customHeight="1">
      <c r="B241" s="9">
        <v>238.0</v>
      </c>
      <c r="C241" s="1">
        <v>106.089996</v>
      </c>
      <c r="D241" s="1">
        <f t="shared" si="1"/>
        <v>103.6449363</v>
      </c>
      <c r="E241" s="1">
        <f t="shared" si="2"/>
        <v>106.0617456</v>
      </c>
      <c r="F241" s="1">
        <f t="shared" si="3"/>
        <v>0.1195518904</v>
      </c>
      <c r="G241" s="12">
        <f t="shared" si="4"/>
        <v>-2.445059656</v>
      </c>
      <c r="H241" s="10"/>
    </row>
    <row r="242" ht="15.75" customHeight="1">
      <c r="B242" s="9">
        <v>239.0</v>
      </c>
      <c r="C242" s="1">
        <v>107.25</v>
      </c>
      <c r="D242" s="1">
        <f t="shared" si="1"/>
        <v>106.1812975</v>
      </c>
      <c r="E242" s="1">
        <f t="shared" si="2"/>
        <v>107.2376521</v>
      </c>
      <c r="F242" s="1">
        <f t="shared" si="3"/>
        <v>0.1308708419</v>
      </c>
      <c r="G242" s="12">
        <f t="shared" si="4"/>
        <v>-1.068702479</v>
      </c>
      <c r="H242" s="10"/>
    </row>
    <row r="243" ht="15.75" customHeight="1">
      <c r="B243" s="9">
        <v>240.0</v>
      </c>
      <c r="C243" s="1">
        <v>106.459999</v>
      </c>
      <c r="D243" s="1">
        <f t="shared" si="1"/>
        <v>107.368523</v>
      </c>
      <c r="E243" s="1">
        <f t="shared" si="2"/>
        <v>106.4704961</v>
      </c>
      <c r="F243" s="1">
        <f t="shared" si="3"/>
        <v>0.1212483892</v>
      </c>
      <c r="G243" s="12">
        <f t="shared" si="4"/>
        <v>0.9085239879</v>
      </c>
      <c r="H243" s="10"/>
    </row>
    <row r="244" ht="15.75" customHeight="1">
      <c r="B244" s="9">
        <v>241.0</v>
      </c>
      <c r="C244" s="1">
        <v>105.440002</v>
      </c>
      <c r="D244" s="1">
        <f t="shared" si="1"/>
        <v>106.5917445</v>
      </c>
      <c r="E244" s="1">
        <f t="shared" si="2"/>
        <v>105.4533093</v>
      </c>
      <c r="F244" s="1">
        <f t="shared" si="3"/>
        <v>0.1090499354</v>
      </c>
      <c r="G244" s="12">
        <f t="shared" si="4"/>
        <v>1.151742531</v>
      </c>
      <c r="H244" s="10"/>
    </row>
    <row r="245" ht="15.75" customHeight="1">
      <c r="A245" s="1"/>
      <c r="B245" s="9">
        <v>242.0</v>
      </c>
      <c r="C245" s="1">
        <f>XOM_Data!E243</f>
        <v>104.699997</v>
      </c>
      <c r="D245" s="1">
        <f t="shared" si="1"/>
        <v>105.5623592</v>
      </c>
      <c r="E245" s="1">
        <f t="shared" si="2"/>
        <v>104.7099608</v>
      </c>
      <c r="F245" s="1">
        <f t="shared" si="3"/>
        <v>0.09991639579</v>
      </c>
      <c r="G245" s="12">
        <f t="shared" si="4"/>
        <v>0.8623622392</v>
      </c>
      <c r="H245" s="10"/>
    </row>
    <row r="246" ht="15.75" customHeight="1">
      <c r="A246" s="1"/>
      <c r="B246" s="9">
        <v>243.0</v>
      </c>
      <c r="C246" s="1">
        <f>XOM_Data!E244</f>
        <v>105.169998</v>
      </c>
      <c r="D246" s="1">
        <f t="shared" si="1"/>
        <v>104.8098772</v>
      </c>
      <c r="E246" s="1">
        <f t="shared" si="2"/>
        <v>105.1658371</v>
      </c>
      <c r="F246" s="1">
        <f t="shared" si="3"/>
        <v>0.1037305444</v>
      </c>
      <c r="G246" s="12">
        <f t="shared" si="4"/>
        <v>-0.360120818</v>
      </c>
      <c r="H246" s="10"/>
    </row>
    <row r="247" ht="15.75" customHeight="1">
      <c r="A247" s="1"/>
      <c r="B247" s="9">
        <v>244.0</v>
      </c>
      <c r="C247" s="1">
        <f>XOM_Data!E245</f>
        <v>106.690002</v>
      </c>
      <c r="D247" s="1">
        <f t="shared" si="1"/>
        <v>105.2695677</v>
      </c>
      <c r="E247" s="1">
        <f t="shared" si="2"/>
        <v>106.6735902</v>
      </c>
      <c r="F247" s="1">
        <f t="shared" si="3"/>
        <v>0.1187747943</v>
      </c>
      <c r="G247" s="12">
        <f t="shared" si="4"/>
        <v>-1.420434314</v>
      </c>
      <c r="H247" s="10"/>
    </row>
    <row r="248" ht="15.75" customHeight="1">
      <c r="B248" s="9">
        <v>245.0</v>
      </c>
      <c r="C248" s="1">
        <f>XOM_Data!E246</f>
        <v>108.059998</v>
      </c>
      <c r="D248" s="1">
        <f t="shared" si="1"/>
        <v>106.792365</v>
      </c>
      <c r="E248" s="1">
        <f t="shared" si="2"/>
        <v>108.0453517</v>
      </c>
      <c r="F248" s="1">
        <f t="shared" si="3"/>
        <v>0.1322006791</v>
      </c>
      <c r="G248" s="12">
        <f t="shared" si="4"/>
        <v>-1.267632991</v>
      </c>
      <c r="H248" s="10"/>
    </row>
    <row r="249" ht="15.75" customHeight="1">
      <c r="B249" s="9">
        <v>246.0</v>
      </c>
      <c r="C249" s="1">
        <f>XOM_Data!E247</f>
        <v>105.879997</v>
      </c>
      <c r="D249" s="1">
        <f t="shared" si="1"/>
        <v>108.1775524</v>
      </c>
      <c r="E249" s="1">
        <f t="shared" si="2"/>
        <v>105.9065431</v>
      </c>
      <c r="F249" s="1">
        <f t="shared" si="3"/>
        <v>0.1078665745</v>
      </c>
      <c r="G249" s="12">
        <f t="shared" si="4"/>
        <v>2.29755537</v>
      </c>
      <c r="H249" s="10"/>
    </row>
    <row r="250" ht="15.75" customHeight="1">
      <c r="B250" s="9">
        <v>247.0</v>
      </c>
      <c r="C250" s="1">
        <f>XOM_Data!E248</f>
        <v>108.68</v>
      </c>
      <c r="D250" s="1">
        <f t="shared" si="1"/>
        <v>106.0144097</v>
      </c>
      <c r="E250" s="1">
        <f t="shared" si="2"/>
        <v>108.6492016</v>
      </c>
      <c r="F250" s="1">
        <f t="shared" si="3"/>
        <v>0.1360986488</v>
      </c>
      <c r="G250" s="12">
        <f t="shared" si="4"/>
        <v>-2.66559033</v>
      </c>
      <c r="H250" s="10"/>
    </row>
    <row r="251" ht="15.75" customHeight="1">
      <c r="B251" s="9">
        <v>248.0</v>
      </c>
      <c r="C251" s="1">
        <f>XOM_Data!E249</f>
        <v>110.190002</v>
      </c>
      <c r="D251" s="1">
        <f t="shared" si="1"/>
        <v>108.7853003</v>
      </c>
      <c r="E251" s="1">
        <f t="shared" si="2"/>
        <v>110.173772</v>
      </c>
      <c r="F251" s="1">
        <f t="shared" si="3"/>
        <v>0.1509762703</v>
      </c>
      <c r="G251" s="12">
        <f t="shared" si="4"/>
        <v>-1.404701745</v>
      </c>
      <c r="H251" s="10"/>
    </row>
    <row r="252" ht="15.75" customHeight="1">
      <c r="B252" s="9">
        <v>249.0</v>
      </c>
      <c r="C252" s="1">
        <f>XOM_Data!E250</f>
        <v>108.379997</v>
      </c>
      <c r="D252" s="1">
        <f t="shared" si="1"/>
        <v>110.3247483</v>
      </c>
      <c r="E252" s="1">
        <f t="shared" si="2"/>
        <v>108.4024668</v>
      </c>
      <c r="F252" s="1">
        <f t="shared" si="3"/>
        <v>0.1303788209</v>
      </c>
      <c r="G252" s="12">
        <f t="shared" si="4"/>
        <v>1.94475126</v>
      </c>
      <c r="H252" s="10"/>
    </row>
    <row r="253" ht="15.75" customHeight="1">
      <c r="B253" s="9">
        <v>250.0</v>
      </c>
      <c r="C253" s="1">
        <f>XOM_Data!E251</f>
        <v>109.199997</v>
      </c>
      <c r="D253" s="1">
        <f t="shared" si="1"/>
        <v>108.5328456</v>
      </c>
      <c r="E253" s="1">
        <f t="shared" si="2"/>
        <v>109.1922887</v>
      </c>
      <c r="F253" s="1">
        <f t="shared" si="3"/>
        <v>0.1374448234</v>
      </c>
      <c r="G253" s="12">
        <f t="shared" si="4"/>
        <v>-0.6671514038</v>
      </c>
      <c r="H253" s="10"/>
    </row>
    <row r="254" ht="15.75" customHeight="1">
      <c r="A254" s="1" t="s">
        <v>49</v>
      </c>
      <c r="B254" s="9">
        <v>251.0</v>
      </c>
      <c r="C254" s="1">
        <f>XOM_Data!E252</f>
        <v>110.300003</v>
      </c>
      <c r="D254" s="1">
        <f t="shared" si="1"/>
        <v>109.3297335</v>
      </c>
      <c r="E254" s="1">
        <f t="shared" si="2"/>
        <v>110.2887924</v>
      </c>
      <c r="F254" s="1">
        <f t="shared" si="3"/>
        <v>0.1477212413</v>
      </c>
      <c r="G254" s="12">
        <f t="shared" si="4"/>
        <v>-0.9702694848</v>
      </c>
      <c r="H254" s="10"/>
    </row>
    <row r="255" ht="15.75" customHeight="1">
      <c r="A255" s="1" t="s">
        <v>50</v>
      </c>
      <c r="B255" s="9">
        <v>252.0</v>
      </c>
      <c r="C255" s="14">
        <v>106.510002</v>
      </c>
      <c r="D255" s="15">
        <f t="shared" si="1"/>
        <v>110.4365137</v>
      </c>
      <c r="E255" s="1" t="s">
        <v>47</v>
      </c>
      <c r="F255" s="1" t="s">
        <v>47</v>
      </c>
      <c r="G255" s="1">
        <f t="shared" si="4"/>
        <v>3.926511688</v>
      </c>
      <c r="H255" s="10">
        <f t="shared" ref="H255:H264" si="5">abs(G255)</f>
        <v>3.926511688</v>
      </c>
    </row>
    <row r="256" ht="15.75" customHeight="1">
      <c r="B256" s="9">
        <v>253.0</v>
      </c>
      <c r="C256" s="14">
        <v>106.82</v>
      </c>
      <c r="D256" s="15">
        <f>E254+2*F254</f>
        <v>110.5842349</v>
      </c>
      <c r="E256" s="1" t="s">
        <v>47</v>
      </c>
      <c r="F256" s="1" t="s">
        <v>47</v>
      </c>
      <c r="G256" s="1">
        <f t="shared" si="4"/>
        <v>3.76423493</v>
      </c>
      <c r="H256" s="10">
        <f t="shared" si="5"/>
        <v>3.76423493</v>
      </c>
    </row>
    <row r="257" ht="15.75" customHeight="1">
      <c r="B257" s="9">
        <v>254.0</v>
      </c>
      <c r="C257" s="14">
        <v>109.209999</v>
      </c>
      <c r="D257" s="15">
        <f>$E$254+3*$F$254</f>
        <v>110.7319562</v>
      </c>
      <c r="E257" s="1" t="s">
        <v>47</v>
      </c>
      <c r="F257" s="1" t="s">
        <v>47</v>
      </c>
      <c r="G257" s="1">
        <f t="shared" si="4"/>
        <v>1.521957171</v>
      </c>
      <c r="H257" s="10">
        <f t="shared" si="5"/>
        <v>1.521957171</v>
      </c>
    </row>
    <row r="258" ht="15.75" customHeight="1">
      <c r="B258" s="9">
        <v>255.0</v>
      </c>
      <c r="C258" s="14">
        <v>110.529999</v>
      </c>
      <c r="D258" s="15">
        <f>$E$254+4*$F$254</f>
        <v>110.8796774</v>
      </c>
      <c r="E258" s="1" t="s">
        <v>47</v>
      </c>
      <c r="F258" s="1" t="s">
        <v>47</v>
      </c>
      <c r="G258" s="1">
        <f t="shared" si="4"/>
        <v>0.3496784121</v>
      </c>
      <c r="H258" s="10">
        <f t="shared" si="5"/>
        <v>0.3496784121</v>
      </c>
    </row>
    <row r="259" ht="15.75" customHeight="1">
      <c r="B259" s="9">
        <v>256.0</v>
      </c>
      <c r="C259" s="14">
        <v>108.470001</v>
      </c>
      <c r="D259" s="15">
        <f>$E$254+5*$F$254</f>
        <v>111.0273987</v>
      </c>
      <c r="E259" s="1" t="s">
        <v>47</v>
      </c>
      <c r="F259" s="1" t="s">
        <v>47</v>
      </c>
      <c r="G259" s="1">
        <f t="shared" si="4"/>
        <v>2.557397653</v>
      </c>
      <c r="H259" s="10">
        <f t="shared" si="5"/>
        <v>2.557397653</v>
      </c>
    </row>
    <row r="260" ht="15.75" customHeight="1">
      <c r="B260" s="9">
        <v>257.0</v>
      </c>
      <c r="C260" s="14">
        <v>110.089996</v>
      </c>
      <c r="D260" s="15">
        <f>$E$254+6*$F$254</f>
        <v>111.1751199</v>
      </c>
      <c r="E260" s="1" t="s">
        <v>47</v>
      </c>
      <c r="F260" s="1" t="s">
        <v>47</v>
      </c>
      <c r="G260" s="1">
        <f t="shared" si="4"/>
        <v>1.085123895</v>
      </c>
      <c r="H260" s="10">
        <f t="shared" si="5"/>
        <v>1.085123895</v>
      </c>
    </row>
    <row r="261" ht="15.75" customHeight="1">
      <c r="B261" s="9">
        <v>258.0</v>
      </c>
      <c r="C261" s="14">
        <v>111.370003</v>
      </c>
      <c r="D261" s="15">
        <f>$E$254+7*$F$254</f>
        <v>111.3228411</v>
      </c>
      <c r="E261" s="1" t="s">
        <v>47</v>
      </c>
      <c r="F261" s="1" t="s">
        <v>47</v>
      </c>
      <c r="G261" s="1">
        <f t="shared" si="4"/>
        <v>-0.04716186391</v>
      </c>
      <c r="H261" s="10">
        <f t="shared" si="5"/>
        <v>0.04716186391</v>
      </c>
    </row>
    <row r="262" ht="15.75" customHeight="1">
      <c r="B262" s="9">
        <v>259.0</v>
      </c>
      <c r="C262" s="14">
        <v>113.220001</v>
      </c>
      <c r="D262" s="15">
        <f>$E$254+8*$F$254</f>
        <v>111.4705624</v>
      </c>
      <c r="E262" s="1" t="s">
        <v>47</v>
      </c>
      <c r="F262" s="1" t="s">
        <v>47</v>
      </c>
      <c r="G262" s="1">
        <f t="shared" si="4"/>
        <v>-1.749438623</v>
      </c>
      <c r="H262" s="10">
        <f t="shared" si="5"/>
        <v>1.749438623</v>
      </c>
    </row>
    <row r="263" ht="15.75" customHeight="1">
      <c r="B263" s="9">
        <v>260.0</v>
      </c>
      <c r="C263" s="14">
        <v>113.150002</v>
      </c>
      <c r="D263" s="15">
        <f>$E$254+9*$F$254</f>
        <v>111.6182836</v>
      </c>
      <c r="E263" s="1" t="s">
        <v>47</v>
      </c>
      <c r="F263" s="1" t="s">
        <v>47</v>
      </c>
      <c r="G263" s="1">
        <f t="shared" si="4"/>
        <v>-1.531718381</v>
      </c>
      <c r="H263" s="10">
        <f t="shared" si="5"/>
        <v>1.531718381</v>
      </c>
    </row>
    <row r="264" ht="15.75" customHeight="1">
      <c r="B264" s="16">
        <v>261.0</v>
      </c>
      <c r="C264" s="17">
        <v>112.93</v>
      </c>
      <c r="D264" s="18">
        <f>$E$254+10*$F$254</f>
        <v>111.7660049</v>
      </c>
      <c r="E264" s="19" t="s">
        <v>47</v>
      </c>
      <c r="F264" s="19" t="s">
        <v>47</v>
      </c>
      <c r="G264" s="19">
        <f t="shared" si="4"/>
        <v>-1.16399514</v>
      </c>
      <c r="H264" s="20">
        <f t="shared" si="5"/>
        <v>1.16399514</v>
      </c>
    </row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2023-02-16T18:30:15Z</dcterms:created>
</cp:coreProperties>
</file>